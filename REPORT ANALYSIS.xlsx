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8d9359c5bc83295/Desktop/finance portfolio/TATA CONSULTANCY SERVICES/"/>
    </mc:Choice>
  </mc:AlternateContent>
  <xr:revisionPtr revIDLastSave="526" documentId="13_ncr:1_{4C31AFFC-4F3E-420A-896F-B3EBA755E6E3}" xr6:coauthVersionLast="47" xr6:coauthVersionMax="47" xr10:uidLastSave="{35CB5455-284D-46FD-8625-0ED7C1A3056F}"/>
  <bookViews>
    <workbookView xWindow="-108" yWindow="-108" windowWidth="23256" windowHeight="12456" firstSheet="2" activeTab="6" xr2:uid="{00000000-000D-0000-FFFF-FFFF00000000}"/>
  </bookViews>
  <sheets>
    <sheet name="company overview" sheetId="1" r:id="rId1"/>
    <sheet name="financial statement " sheetId="2" r:id="rId2"/>
    <sheet name="Ratio Analysis " sheetId="3" r:id="rId3"/>
    <sheet name="trend analysis " sheetId="4" r:id="rId4"/>
    <sheet name="Raw Dataset Table " sheetId="12" r:id="rId5"/>
    <sheet name="pivot table " sheetId="13" r:id="rId6"/>
    <sheet name="Dashboard " sheetId="14" r:id="rId7"/>
    <sheet name="business insights " sheetId="15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4" l="1"/>
  <c r="E11" i="4"/>
  <c r="D11" i="4"/>
  <c r="C11" i="4"/>
  <c r="F9" i="4"/>
  <c r="E9" i="4"/>
  <c r="D9" i="4"/>
  <c r="C9" i="4"/>
  <c r="F8" i="4"/>
  <c r="E8" i="4"/>
  <c r="D8" i="4"/>
  <c r="C8" i="4"/>
  <c r="F38" i="2"/>
  <c r="E38" i="2"/>
  <c r="D38" i="2"/>
  <c r="C38" i="2"/>
  <c r="F31" i="2"/>
  <c r="E31" i="2"/>
  <c r="D31" i="2"/>
  <c r="C31" i="2"/>
  <c r="F26" i="2"/>
  <c r="E26" i="2"/>
  <c r="D26" i="2"/>
  <c r="C26" i="2"/>
  <c r="C14" i="2"/>
  <c r="F14" i="2"/>
  <c r="E14" i="2"/>
  <c r="D14" i="2"/>
</calcChain>
</file>

<file path=xl/sharedStrings.xml><?xml version="1.0" encoding="utf-8"?>
<sst xmlns="http://schemas.openxmlformats.org/spreadsheetml/2006/main" count="253" uniqueCount="162">
  <si>
    <t xml:space="preserve">FINANCIAL STATEMENT ANALYSIS </t>
  </si>
  <si>
    <t xml:space="preserve">TATA CONSULTANCY SERVICES </t>
  </si>
  <si>
    <t xml:space="preserve">PREPARED BY: PRASHANSA SHRIVASTAVA </t>
  </si>
  <si>
    <t xml:space="preserve">COMPANY INFORMATION </t>
  </si>
  <si>
    <t>COMPANY NAME</t>
  </si>
  <si>
    <t xml:space="preserve">INDUSTRY </t>
  </si>
  <si>
    <t xml:space="preserve">INFORMATION TECHNOLOGY SERVICES </t>
  </si>
  <si>
    <t>FOUNDED</t>
  </si>
  <si>
    <t xml:space="preserve">HEADQUATERS </t>
  </si>
  <si>
    <t>MUMBAI,MAHARASHTRA ,INDIA</t>
  </si>
  <si>
    <t xml:space="preserve">CEO </t>
  </si>
  <si>
    <t>K.KRITHIVASAN</t>
  </si>
  <si>
    <t xml:space="preserve">PARENT COMPANY </t>
  </si>
  <si>
    <t xml:space="preserve">TATA SONS </t>
  </si>
  <si>
    <t xml:space="preserve">LISTED ON </t>
  </si>
  <si>
    <t>NSE &amp; BSE</t>
  </si>
  <si>
    <t xml:space="preserve">EMPLOYESS </t>
  </si>
  <si>
    <t>MAIN BUSINESS</t>
  </si>
  <si>
    <t>IT SERVICES,CONSULTING &amp; BUSINESS SOLUTIONS</t>
  </si>
  <si>
    <t xml:space="preserve"> COMPANY SNAPSHOT </t>
  </si>
  <si>
    <t>Tata Consutancy Services (TCS) is a global provider of IT Services,consulting and digital transformation solutions.</t>
  </si>
  <si>
    <t>TCS focuses on creating long-term value for its clients, shareholders, employees, and society.</t>
  </si>
  <si>
    <t>The company has a global workforce of over 607,000 employees operating across 55 countries.</t>
  </si>
  <si>
    <t>TCS delivers its services through more than 200 service delivery centers worldwide.</t>
  </si>
  <si>
    <t>The company is recognized as one of the leading employers across multiple continents due to its strong workplace culture.</t>
  </si>
  <si>
    <t>Its global presence and skilled workforce enable it to serve clients in diverse industries around the world.</t>
  </si>
  <si>
    <t xml:space="preserve">PROJECT OBJECTIVE </t>
  </si>
  <si>
    <t xml:space="preserve">to analye the financial performance of TATA CONSULTANCY SERVICES by studying its financial statements, calculating </t>
  </si>
  <si>
    <t>financial ratios , identifying financial trends and drawing meaningful insights .</t>
  </si>
  <si>
    <t xml:space="preserve">SKILLS USED </t>
  </si>
  <si>
    <t xml:space="preserve">Financial Statement Analysis </t>
  </si>
  <si>
    <t>Ratio Analysis</t>
  </si>
  <si>
    <t xml:space="preserve">Financial Reporting </t>
  </si>
  <si>
    <t>Data Interpretation</t>
  </si>
  <si>
    <t>Business Research</t>
  </si>
  <si>
    <t xml:space="preserve">FINANCIAL SATEMENTS </t>
  </si>
  <si>
    <t xml:space="preserve">STATEMENT OF PROFIT &amp; LOSS </t>
  </si>
  <si>
    <t>PARTICULARS</t>
  </si>
  <si>
    <t>FY23</t>
  </si>
  <si>
    <t>FY24</t>
  </si>
  <si>
    <t>FY25</t>
  </si>
  <si>
    <t>FY22</t>
  </si>
  <si>
    <t>Revenue From Operations</t>
  </si>
  <si>
    <t xml:space="preserve">Other income </t>
  </si>
  <si>
    <t xml:space="preserve">TOTAL INCOME </t>
  </si>
  <si>
    <t xml:space="preserve">₹ in crore </t>
  </si>
  <si>
    <t>EXPENSES</t>
  </si>
  <si>
    <t xml:space="preserve">Employee Benefit Expenses </t>
  </si>
  <si>
    <t xml:space="preserve">finance Costs </t>
  </si>
  <si>
    <t xml:space="preserve">Cost of  Equipment and Software licenses </t>
  </si>
  <si>
    <t>Depreciation &amp; ammortisation expenses</t>
  </si>
  <si>
    <t>Other Expenses</t>
  </si>
  <si>
    <t xml:space="preserve">TOTAL EXPENSES </t>
  </si>
  <si>
    <t xml:space="preserve">PROFIT BEFORE TAX </t>
  </si>
  <si>
    <t xml:space="preserve">Total Tax Expense </t>
  </si>
  <si>
    <t xml:space="preserve">PROFIT FOR THE YEAR </t>
  </si>
  <si>
    <t>Weighte average  number of equity shares</t>
  </si>
  <si>
    <t>EARNING PER EQUITY SHARE</t>
  </si>
  <si>
    <t>BALANCE SHEET</t>
  </si>
  <si>
    <t xml:space="preserve">PARTICULARS </t>
  </si>
  <si>
    <t xml:space="preserve">₹ In crore </t>
  </si>
  <si>
    <t xml:space="preserve">TOTAL ASSETS </t>
  </si>
  <si>
    <t xml:space="preserve">ASSETS </t>
  </si>
  <si>
    <t>EQUITY &amp; LIABILITIES</t>
  </si>
  <si>
    <t>TOTAL EQUITY &amp; LIABILITITES</t>
  </si>
  <si>
    <t xml:space="preserve">CASH FLOW STATEMENT </t>
  </si>
  <si>
    <t>Total Non-Current Assets</t>
  </si>
  <si>
    <t>Total Current Assets</t>
  </si>
  <si>
    <t>Total Equity</t>
  </si>
  <si>
    <t>Total Non-Current Liabilities</t>
  </si>
  <si>
    <t>Total Current Liabilities</t>
  </si>
  <si>
    <t xml:space="preserve">Cash Flow From Operating Activities </t>
  </si>
  <si>
    <t>₹ In crore</t>
  </si>
  <si>
    <t>Cash Flow From Investing Activities</t>
  </si>
  <si>
    <t>Cash Flow From Financing Activities</t>
  </si>
  <si>
    <t xml:space="preserve">Net Increase Or Decrease in Cash and Cash Equivalent </t>
  </si>
  <si>
    <t xml:space="preserve">Cash and Cash Equivalent at the End of the year </t>
  </si>
  <si>
    <t xml:space="preserve">RATIO ANALYSIS </t>
  </si>
  <si>
    <t>Operating Profit Margin</t>
  </si>
  <si>
    <t>Net Profit Margin</t>
  </si>
  <si>
    <t xml:space="preserve">Return On Asset </t>
  </si>
  <si>
    <t xml:space="preserve">Return On Equity </t>
  </si>
  <si>
    <r>
      <rPr>
        <b/>
        <sz val="14"/>
        <color theme="0"/>
        <rFont val="Calibri"/>
        <family val="2"/>
        <scheme val="minor"/>
      </rPr>
      <t>PROFITABILITY RATIOS</t>
    </r>
    <r>
      <rPr>
        <b/>
        <sz val="14"/>
        <color theme="1"/>
        <rFont val="Calibri"/>
        <family val="2"/>
        <scheme val="minor"/>
      </rPr>
      <t xml:space="preserve"> </t>
    </r>
  </si>
  <si>
    <t xml:space="preserve">LIQUIDITY RATIO </t>
  </si>
  <si>
    <t>Current Ratio</t>
  </si>
  <si>
    <t>Cash Ratio</t>
  </si>
  <si>
    <t>Quick Ratio</t>
  </si>
  <si>
    <t>EFFICIENCY RATIO</t>
  </si>
  <si>
    <t>Total Assets Turnover Ratio</t>
  </si>
  <si>
    <t>Receivables Turnover Ratio</t>
  </si>
  <si>
    <t>Working Capital Turnover Ratio</t>
  </si>
  <si>
    <t>SOLVENCY RATIO</t>
  </si>
  <si>
    <t>Debt-To-Equity Ratio</t>
  </si>
  <si>
    <t>Debt Ratio</t>
  </si>
  <si>
    <t>MARKET RATIO</t>
  </si>
  <si>
    <t xml:space="preserve">Earning Per Share </t>
  </si>
  <si>
    <t xml:space="preserve">Price-To-Earnings Ratio </t>
  </si>
  <si>
    <t>27..5</t>
  </si>
  <si>
    <t xml:space="preserve">TREND ANALYSIS </t>
  </si>
  <si>
    <t>FY 23 GROWTH %</t>
  </si>
  <si>
    <t>FY 24 GROWTH %</t>
  </si>
  <si>
    <t>FY 25 GROWTH %</t>
  </si>
  <si>
    <t xml:space="preserve">OVERALL TREND </t>
  </si>
  <si>
    <t>Revenue From Operation</t>
  </si>
  <si>
    <t>Total Income</t>
  </si>
  <si>
    <t>Profit Before Tax</t>
  </si>
  <si>
    <t>Profit After Tax</t>
  </si>
  <si>
    <t>Total Assets</t>
  </si>
  <si>
    <t>Total Liabilities</t>
  </si>
  <si>
    <t>Operating Cash Flow</t>
  </si>
  <si>
    <t>Net Increase/(Decrease) in Cash</t>
  </si>
  <si>
    <t>Cash &amp; Cash Equivalents at End of Year</t>
  </si>
  <si>
    <t>Earnings Per Share (EPS)</t>
  </si>
  <si>
    <t>Total Liabilities*</t>
  </si>
  <si>
    <t>Net Increase/(Decrease) in Cash**</t>
  </si>
  <si>
    <t>📈 Consistent Growth</t>
  </si>
  <si>
    <t>📈 Steady Growth</t>
  </si>
  <si>
    <t>📈 Positive Growth</t>
  </si>
  <si>
    <t>↕️ Fluctuating</t>
  </si>
  <si>
    <t>Revenue</t>
  </si>
  <si>
    <t>PAT</t>
  </si>
  <si>
    <t>ROE</t>
  </si>
  <si>
    <t>ROA</t>
  </si>
  <si>
    <t>Row Labels</t>
  </si>
  <si>
    <t>Grand Total</t>
  </si>
  <si>
    <t>Sum of Revenue</t>
  </si>
  <si>
    <t>Sum of PAT</t>
  </si>
  <si>
    <t>Sum of Total Assets</t>
  </si>
  <si>
    <t>Sum of ROE</t>
  </si>
  <si>
    <t>Sum of ROA</t>
  </si>
  <si>
    <t>Sum of Current Ratio</t>
  </si>
  <si>
    <t>Year</t>
  </si>
  <si>
    <t xml:space="preserve">DASHBOARD </t>
  </si>
  <si>
    <t xml:space="preserve"> The absence of any decline in revenue reflects the company's stable business model.</t>
  </si>
  <si>
    <t>1.Revenue increased from ₹191,754 Cr in FY22 to ₹255,324 Cr in FY25, representing an overall growth of approximately 33.2% over four years</t>
  </si>
  <si>
    <t>2.TCS demonstrated consistent top-line growth, indicating strong demand for its IT services, successful client acquisition, and expansion across global markets.</t>
  </si>
  <si>
    <r>
      <rPr>
        <b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. </t>
    </r>
    <r>
      <rPr>
        <b/>
        <sz val="14"/>
        <color theme="1"/>
        <rFont val="Calibri"/>
        <family val="2"/>
        <scheme val="minor"/>
      </rPr>
      <t>REVENUE FROM OPERATION</t>
    </r>
  </si>
  <si>
    <t xml:space="preserve">2.PROFIT AFTER TAX </t>
  </si>
  <si>
    <t>1.PAT increased from ₹38,112 Cr in FY22 to ₹48,797 Cr in FY25, an increase of around 28.0%.</t>
  </si>
  <si>
    <t xml:space="preserve">2.The steady increase in net profit indicates that TCS maintained strong profitability while expanding its operations.Although profit grew slightly slower than </t>
  </si>
  <si>
    <t>revenue, the company continued to generate substantial earnings, reflecting sound cost management and operational efficiency.</t>
  </si>
  <si>
    <t xml:space="preserve">3.TOTAL ASSETS </t>
  </si>
  <si>
    <t>1.Total assets increased from ₹89,438 Cr in FY22 to ₹114,128 Cr in FY25, representing growth of approximately 27.6%.</t>
  </si>
  <si>
    <t>2.The continuous increase in total assets suggests ongoing investment in business resources and expansion. Asset growth supports the company''s long-term</t>
  </si>
  <si>
    <t>operational capacity and future growth opportunities.</t>
  </si>
  <si>
    <t>4. Return on Equity (ROE)</t>
  </si>
  <si>
    <t>1.ROE improved from 46.8% in FY22 to 58.3% in FY25.</t>
  </si>
  <si>
    <t xml:space="preserve">2.The rising ROE indicates that TCS generated increasingly higher returns from shareholders' equity. This reflects efficient capital utilization and strong value </t>
  </si>
  <si>
    <t>creation for investors.</t>
  </si>
  <si>
    <t>5. Return on Assets (ROA)</t>
  </si>
  <si>
    <t>1.ROA increased from 36.2% in FY22 to 42.7% in FY25.</t>
  </si>
  <si>
    <t>2.The improvement in ROA shows that TCS became more effective at converting its asset base into profits. Higher ROA reflects efficient asset management and</t>
  </si>
  <si>
    <t xml:space="preserve"> improved operational performance.</t>
  </si>
  <si>
    <t>6. Current Ratio</t>
  </si>
  <si>
    <t>1.The current ratio remained consistently above 3, increasing from 3.45 in FY22 to 3.95 in FY25.</t>
  </si>
  <si>
    <t xml:space="preserve">2.A current ratio well above 1 indicates a strong liquidity position. TCS had sufficient current assets to comfortably meet its short-term obligations, </t>
  </si>
  <si>
    <t>demonstrating sound working capital management.</t>
  </si>
  <si>
    <t>CONCLUSION</t>
  </si>
  <si>
    <t>TCS demonstrated strong financial performance during FY22–FY25.</t>
  </si>
  <si>
    <t>The company achieved sustained revenue growth, maintained healthy profitability, improved returns on equity and assets, preserved a strong liquidity position.</t>
  </si>
  <si>
    <t>Overall, the financial indicators suggest that TCS remained financially stable, operationally efficient, and well-positioned for long-term growth.</t>
  </si>
  <si>
    <r>
      <rPr>
        <b/>
        <u/>
        <sz val="20"/>
        <color theme="0"/>
        <rFont val="Calibri"/>
        <family val="2"/>
        <scheme val="minor"/>
      </rPr>
      <t>BUSINESS INSIGHTS</t>
    </r>
    <r>
      <rPr>
        <b/>
        <sz val="20"/>
        <color theme="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</si>
</sst>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.0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Arial Unicode MS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u/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06">
    <xf numFmtId="0" fontId="0" fillId="0" borderId="0" xfId="0"/>
    <xf numFmtId="0" fontId="5" fillId="0" borderId="1" xfId="0" applyFon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10" fillId="0" borderId="0" xfId="0" applyFont="1"/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3" fontId="5" fillId="0" borderId="0" xfId="0" applyNumberFormat="1" applyFont="1"/>
    <xf numFmtId="164" fontId="5" fillId="0" borderId="0" xfId="0" applyNumberFormat="1" applyFont="1"/>
    <xf numFmtId="164" fontId="5" fillId="0" borderId="3" xfId="0" applyNumberFormat="1" applyFont="1" applyBorder="1"/>
    <xf numFmtId="164" fontId="11" fillId="0" borderId="0" xfId="0" applyNumberFormat="1" applyFont="1"/>
    <xf numFmtId="164" fontId="12" fillId="4" borderId="2" xfId="0" applyNumberFormat="1" applyFont="1" applyFill="1" applyBorder="1"/>
    <xf numFmtId="164" fontId="12" fillId="4" borderId="1" xfId="0" applyNumberFormat="1" applyFont="1" applyFill="1" applyBorder="1"/>
    <xf numFmtId="0" fontId="7" fillId="3" borderId="1" xfId="0" applyFont="1" applyFill="1" applyBorder="1"/>
    <xf numFmtId="43" fontId="5" fillId="0" borderId="0" xfId="1" applyFont="1"/>
    <xf numFmtId="164" fontId="5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12" fillId="4" borderId="1" xfId="0" applyNumberFormat="1" applyFont="1" applyFill="1" applyBorder="1" applyAlignment="1">
      <alignment wrapText="1"/>
    </xf>
    <xf numFmtId="164" fontId="10" fillId="0" borderId="1" xfId="0" applyNumberFormat="1" applyFont="1" applyBorder="1" applyAlignment="1">
      <alignment wrapText="1"/>
    </xf>
    <xf numFmtId="2" fontId="12" fillId="4" borderId="1" xfId="0" applyNumberFormat="1" applyFont="1" applyFill="1" applyBorder="1"/>
    <xf numFmtId="0" fontId="10" fillId="0" borderId="1" xfId="0" applyFont="1" applyBorder="1" applyAlignment="1">
      <alignment wrapText="1"/>
    </xf>
    <xf numFmtId="164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164" fontId="0" fillId="0" borderId="0" xfId="0" applyNumberFormat="1"/>
    <xf numFmtId="10" fontId="5" fillId="0" borderId="1" xfId="0" applyNumberFormat="1" applyFont="1" applyBorder="1"/>
    <xf numFmtId="2" fontId="16" fillId="3" borderId="1" xfId="0" applyNumberFormat="1" applyFont="1" applyFill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3" fillId="4" borderId="0" xfId="0" applyFont="1" applyFill="1" applyAlignment="1">
      <alignment horizontal="center"/>
    </xf>
    <xf numFmtId="164" fontId="5" fillId="3" borderId="1" xfId="0" applyNumberFormat="1" applyFont="1" applyFill="1" applyBorder="1" applyAlignment="1">
      <alignment wrapText="1"/>
    </xf>
    <xf numFmtId="49" fontId="5" fillId="0" borderId="0" xfId="2" applyNumberFormat="1" applyFont="1"/>
    <xf numFmtId="49" fontId="5" fillId="0" borderId="0" xfId="0" applyNumberFormat="1" applyFont="1"/>
    <xf numFmtId="10" fontId="0" fillId="0" borderId="0" xfId="0" applyNumberFormat="1"/>
    <xf numFmtId="10" fontId="1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5" fillId="0" borderId="1" xfId="0" applyNumberFormat="1" applyFont="1" applyBorder="1" applyAlignment="1">
      <alignment vertical="center" wrapText="1"/>
    </xf>
    <xf numFmtId="10" fontId="5" fillId="0" borderId="1" xfId="2" applyNumberFormat="1" applyFont="1" applyBorder="1" applyAlignment="1">
      <alignment wrapText="1"/>
    </xf>
    <xf numFmtId="164" fontId="17" fillId="3" borderId="1" xfId="0" applyNumberFormat="1" applyFont="1" applyFill="1" applyBorder="1" applyAlignment="1">
      <alignment wrapText="1"/>
    </xf>
    <xf numFmtId="2" fontId="5" fillId="3" borderId="1" xfId="0" applyNumberFormat="1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10" fontId="0" fillId="0" borderId="10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0" fontId="3" fillId="4" borderId="0" xfId="0" applyFont="1" applyFill="1"/>
    <xf numFmtId="0" fontId="18" fillId="4" borderId="0" xfId="0" applyFont="1" applyFill="1"/>
    <xf numFmtId="0" fontId="5" fillId="0" borderId="0" xfId="0" applyFont="1"/>
    <xf numFmtId="0" fontId="0" fillId="0" borderId="0" xfId="0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3" fillId="4" borderId="0" xfId="0" applyFont="1" applyFill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 wrapText="1"/>
    </xf>
    <xf numFmtId="0" fontId="8" fillId="4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left"/>
    </xf>
    <xf numFmtId="0" fontId="10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3" fillId="4" borderId="0" xfId="0" applyFont="1" applyFill="1" applyAlignment="1">
      <alignment horizontal="center" wrapText="1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2"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4" formatCode="0.00%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ANALYSIS.xlsx]pivot table 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13648293963256"/>
          <c:y val="0.26328484981044037"/>
          <c:w val="0.6965853018372703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'!$A$2:$A$6</c:f>
              <c:strCache>
                <c:ptCount val="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</c:strCache>
            </c:strRef>
          </c:cat>
          <c:val>
            <c:numRef>
              <c:f>'pivot table '!$B$2:$B$6</c:f>
              <c:numCache>
                <c:formatCode>General</c:formatCode>
                <c:ptCount val="4"/>
                <c:pt idx="0">
                  <c:v>191754</c:v>
                </c:pt>
                <c:pt idx="1">
                  <c:v>225458</c:v>
                </c:pt>
                <c:pt idx="2">
                  <c:v>240893</c:v>
                </c:pt>
                <c:pt idx="3">
                  <c:v>255324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9-40DC-B244-FE228A58DB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571999"/>
        <c:axId val="136168911"/>
      </c:lineChart>
      <c:catAx>
        <c:axId val="16757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68911"/>
        <c:crosses val="autoZero"/>
        <c:auto val="1"/>
        <c:lblAlgn val="ctr"/>
        <c:lblOffset val="100"/>
        <c:noMultiLvlLbl val="0"/>
      </c:catAx>
      <c:valAx>
        <c:axId val="13616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7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ANALYSIS.xlsx]pivot table 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'!$L$1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'!$K$2:$K$6</c:f>
              <c:strCache>
                <c:ptCount val="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</c:strCache>
            </c:strRef>
          </c:cat>
          <c:val>
            <c:numRef>
              <c:f>'pivot table '!$L$2:$L$6</c:f>
              <c:numCache>
                <c:formatCode>General</c:formatCode>
                <c:ptCount val="4"/>
                <c:pt idx="0">
                  <c:v>38112</c:v>
                </c:pt>
                <c:pt idx="1">
                  <c:v>42147</c:v>
                </c:pt>
                <c:pt idx="2">
                  <c:v>46312</c:v>
                </c:pt>
                <c:pt idx="3">
                  <c:v>48797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B5-4F58-9F77-1E8C2EB37B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07101983"/>
        <c:axId val="136147311"/>
      </c:lineChart>
      <c:catAx>
        <c:axId val="200710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7311"/>
        <c:crosses val="autoZero"/>
        <c:auto val="1"/>
        <c:lblAlgn val="ctr"/>
        <c:lblOffset val="100"/>
        <c:noMultiLvlLbl val="0"/>
      </c:catAx>
      <c:valAx>
        <c:axId val="1361473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0710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ANALYSIS.xlsx]pivot table 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'!$A$18:$A$22</c:f>
              <c:strCache>
                <c:ptCount val="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</c:strCache>
            </c:strRef>
          </c:cat>
          <c:val>
            <c:numRef>
              <c:f>'pivot table '!$B$18:$B$22</c:f>
              <c:numCache>
                <c:formatCode>General</c:formatCode>
                <c:ptCount val="4"/>
                <c:pt idx="0">
                  <c:v>89438</c:v>
                </c:pt>
                <c:pt idx="1">
                  <c:v>99011</c:v>
                </c:pt>
                <c:pt idx="2">
                  <c:v>108741</c:v>
                </c:pt>
                <c:pt idx="3">
                  <c:v>114128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4-4049-A663-80B1337CD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67584527"/>
        <c:axId val="136200111"/>
      </c:barChart>
      <c:catAx>
        <c:axId val="16758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00111"/>
        <c:crosses val="autoZero"/>
        <c:auto val="1"/>
        <c:lblAlgn val="ctr"/>
        <c:lblOffset val="100"/>
        <c:noMultiLvlLbl val="0"/>
      </c:catAx>
      <c:valAx>
        <c:axId val="1362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8452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ANALYSIS.xlsx]pivot table !PivotTable11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'!$L$17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 '!$K$18:$K$22</c:f>
              <c:strCache>
                <c:ptCount val="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</c:strCache>
            </c:strRef>
          </c:cat>
          <c:val>
            <c:numRef>
              <c:f>'pivot table '!$L$18:$L$22</c:f>
              <c:numCache>
                <c:formatCode>0.00%</c:formatCode>
                <c:ptCount val="4"/>
                <c:pt idx="0">
                  <c:v>0.46800000000000003</c:v>
                </c:pt>
                <c:pt idx="1">
                  <c:v>0.496</c:v>
                </c:pt>
                <c:pt idx="2">
                  <c:v>0.54200000000000004</c:v>
                </c:pt>
                <c:pt idx="3">
                  <c:v>0.58299999999999996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6-45B1-BF10-8E181CDB5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55534831"/>
        <c:axId val="136176591"/>
      </c:barChart>
      <c:catAx>
        <c:axId val="5553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6591"/>
        <c:crosses val="autoZero"/>
        <c:auto val="1"/>
        <c:lblAlgn val="ctr"/>
        <c:lblOffset val="100"/>
        <c:noMultiLvlLbl val="0"/>
      </c:catAx>
      <c:valAx>
        <c:axId val="1361765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ANALYSIS.xlsx]pivot table !PivotTable12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'!$A$32:$A$36</c:f>
              <c:strCache>
                <c:ptCount val="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</c:strCache>
            </c:strRef>
          </c:cat>
          <c:val>
            <c:numRef>
              <c:f>'pivot table '!$B$32:$B$36</c:f>
              <c:numCache>
                <c:formatCode>0.00%</c:formatCode>
                <c:ptCount val="4"/>
                <c:pt idx="0">
                  <c:v>0.36199999999999999</c:v>
                </c:pt>
                <c:pt idx="1">
                  <c:v>0.39800000000000002</c:v>
                </c:pt>
                <c:pt idx="2">
                  <c:v>0.41599999999999998</c:v>
                </c:pt>
                <c:pt idx="3">
                  <c:v>0.42699999999999999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E-4445-83BA-5CD51DF20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44646319"/>
        <c:axId val="136199631"/>
      </c:barChart>
      <c:catAx>
        <c:axId val="14464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99631"/>
        <c:crosses val="autoZero"/>
        <c:auto val="1"/>
        <c:lblAlgn val="ctr"/>
        <c:lblOffset val="100"/>
        <c:noMultiLvlLbl val="0"/>
      </c:catAx>
      <c:valAx>
        <c:axId val="13619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4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ANALYSIS.xlsx]pivot table !PivotTable13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'!$L$32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'pivot table '!$K$33:$K$37</c:f>
              <c:strCache>
                <c:ptCount val="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</c:strCache>
            </c:strRef>
          </c:cat>
          <c:val>
            <c:numRef>
              <c:f>'pivot table '!$L$33:$L$37</c:f>
              <c:numCache>
                <c:formatCode>General</c:formatCode>
                <c:ptCount val="4"/>
                <c:pt idx="0">
                  <c:v>3.45</c:v>
                </c:pt>
                <c:pt idx="1">
                  <c:v>3.62</c:v>
                </c:pt>
                <c:pt idx="2">
                  <c:v>3.81</c:v>
                </c:pt>
                <c:pt idx="3">
                  <c:v>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9-4388-9D12-D3DBA9BC0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39983"/>
        <c:axId val="136202991"/>
      </c:lineChart>
      <c:catAx>
        <c:axId val="16753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02991"/>
        <c:crosses val="autoZero"/>
        <c:auto val="1"/>
        <c:lblAlgn val="ctr"/>
        <c:lblOffset val="100"/>
        <c:noMultiLvlLbl val="0"/>
      </c:catAx>
      <c:valAx>
        <c:axId val="136202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3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722086</xdr:colOff>
      <xdr:row>7</xdr:row>
      <xdr:rowOff>224971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0EF043-CF44-6CDF-71F3-A6CF437900AA}"/>
            </a:ext>
          </a:extLst>
        </xdr:cNvPr>
        <xdr:cNvSpPr txBox="1"/>
      </xdr:nvSpPr>
      <xdr:spPr>
        <a:xfrm>
          <a:off x="6281057" y="193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15240</xdr:rowOff>
    </xdr:from>
    <xdr:to>
      <xdr:col>8</xdr:col>
      <xdr:colOff>579120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BDCE8A-D1FF-8A83-472C-88BBCA16A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601980</xdr:colOff>
      <xdr:row>2</xdr:row>
      <xdr:rowOff>175260</xdr:rowOff>
    </xdr:from>
    <xdr:to>
      <xdr:col>17</xdr:col>
      <xdr:colOff>236220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AA1790-BEF7-4072-076B-D72970C07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190500</xdr:colOff>
      <xdr:row>2</xdr:row>
      <xdr:rowOff>160020</xdr:rowOff>
    </xdr:from>
    <xdr:to>
      <xdr:col>24</xdr:col>
      <xdr:colOff>495300</xdr:colOff>
      <xdr:row>17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3D6CF1-0AD7-4611-2A6E-1D45CD8B5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8</xdr:col>
      <xdr:colOff>579120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A7BE0E-CB5A-53FF-2828-CF82A41E1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586740</xdr:colOff>
      <xdr:row>16</xdr:row>
      <xdr:rowOff>121920</xdr:rowOff>
    </xdr:from>
    <xdr:to>
      <xdr:col>17</xdr:col>
      <xdr:colOff>60960</xdr:colOff>
      <xdr:row>31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20561B-D5BF-F0A0-CB7A-BDCF47E17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38100</xdr:colOff>
      <xdr:row>16</xdr:row>
      <xdr:rowOff>106680</xdr:rowOff>
    </xdr:from>
    <xdr:to>
      <xdr:col>24</xdr:col>
      <xdr:colOff>342900</xdr:colOff>
      <xdr:row>31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CDB90A6-24D7-45A2-6591-C0BB88FD9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SES" refreshedDate="46219.704985416669" createdVersion="8" refreshedVersion="8" minRefreshableVersion="3" recordCount="4" xr:uid="{CC9FF442-C388-4125-9C98-DB577B00F650}">
  <cacheSource type="worksheet">
    <worksheetSource name="Table3"/>
  </cacheSource>
  <cacheFields count="7">
    <cacheField name="Year" numFmtId="0">
      <sharedItems count="4">
        <s v="FY22"/>
        <s v="FY23"/>
        <s v="FY24"/>
        <s v="FY25"/>
      </sharedItems>
    </cacheField>
    <cacheField name="Revenue" numFmtId="0">
      <sharedItems containsSemiMixedTypes="0" containsString="0" containsNumber="1" containsInteger="1" minValue="191754" maxValue="255324"/>
    </cacheField>
    <cacheField name="PAT" numFmtId="0">
      <sharedItems containsSemiMixedTypes="0" containsString="0" containsNumber="1" containsInteger="1" minValue="38112" maxValue="48797"/>
    </cacheField>
    <cacheField name="Total Assets" numFmtId="0">
      <sharedItems containsSemiMixedTypes="0" containsString="0" containsNumber="1" containsInteger="1" minValue="89438" maxValue="114128"/>
    </cacheField>
    <cacheField name="ROE" numFmtId="10">
      <sharedItems containsSemiMixedTypes="0" containsString="0" containsNumber="1" minValue="0.46800000000000003" maxValue="0.58299999999999996"/>
    </cacheField>
    <cacheField name="ROA" numFmtId="10">
      <sharedItems containsSemiMixedTypes="0" containsString="0" containsNumber="1" minValue="0.36199999999999999" maxValue="0.42699999999999999"/>
    </cacheField>
    <cacheField name="Current Ratio" numFmtId="0">
      <sharedItems containsSemiMixedTypes="0" containsString="0" containsNumber="1" minValue="3.45" maxValue="3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91754"/>
    <n v="38112"/>
    <n v="89438"/>
    <n v="0.46800000000000003"/>
    <n v="0.36199999999999999"/>
    <n v="3.45"/>
  </r>
  <r>
    <x v="1"/>
    <n v="225458"/>
    <n v="42147"/>
    <n v="99011"/>
    <n v="0.496"/>
    <n v="0.39800000000000002"/>
    <n v="3.62"/>
  </r>
  <r>
    <x v="2"/>
    <n v="240893"/>
    <n v="46312"/>
    <n v="108741"/>
    <n v="0.54200000000000004"/>
    <n v="0.41599999999999998"/>
    <n v="3.81"/>
  </r>
  <r>
    <x v="3"/>
    <n v="255324"/>
    <n v="48797"/>
    <n v="114128"/>
    <n v="0.58299999999999996"/>
    <n v="0.42699999999999999"/>
    <n v="3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7C349-780A-4B48-8798-E17B967A3D8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17:L22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numFmtId="10" showAll="0"/>
    <pivotField numFmtId="10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OE" fld="4" baseField="0" baseItem="0" numFmtId="1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C4C70-BD0D-417A-9FFF-65B5017147D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7:B22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numFmtId="10" showAll="0"/>
    <pivotField numFmtId="10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Assets" fld="3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14CA2-9278-409A-BADA-D37BC2D6971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1:L6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numFmtId="10" showAll="0"/>
    <pivotField numFmtId="10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AT" fld="2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83429-15EE-4CF9-8394-959408134CF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6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numFmtId="10" showAll="0"/>
    <pivotField numFmtId="10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DE936-E13A-478F-BEEC-90FE1DF4A206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32:L37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numFmtId="10" showAll="0"/>
    <pivotField numFmtId="10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rrent Ratio" fld="6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6F9A1-CB7C-4DC0-8B2E-0DD7F3A90DBD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1:B36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numFmtId="10" showAll="0"/>
    <pivotField dataField="1" numFmtId="10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OA" fld="5" baseField="0" baseItem="0" numFmtId="1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E6D7D4-5EAD-433A-AC95-0178CCDC94D1}" name="Table3" displayName="Table3" ref="A1:G5" totalsRowShown="0" headerRowDxfId="11" dataDxfId="9" headerRowBorderDxfId="10" tableBorderDxfId="8" totalsRowBorderDxfId="7">
  <autoFilter ref="A1:G5" xr:uid="{7DE6D7D4-5EAD-433A-AC95-0178CCDC94D1}"/>
  <tableColumns count="7">
    <tableColumn id="1" xr3:uid="{01DACC24-28BE-4103-B158-967EEDA0BD32}" name="Year" dataDxfId="6"/>
    <tableColumn id="2" xr3:uid="{65FA8A12-8C54-45DF-8C55-F8DA3FDF31CD}" name="Revenue" dataDxfId="5"/>
    <tableColumn id="3" xr3:uid="{4A9E4D70-3DA5-4059-BC5C-C1516224EFDA}" name="PAT" dataDxfId="4"/>
    <tableColumn id="4" xr3:uid="{29FB80E1-D8BC-4FBD-9CA1-B1B8253E7F65}" name="Total Assets" dataDxfId="3"/>
    <tableColumn id="5" xr3:uid="{8328D1E1-A7B1-4B32-B17D-5045C9BDC9C4}" name="ROE" dataDxfId="2"/>
    <tableColumn id="6" xr3:uid="{4E4FC0AA-1C90-4694-8A35-F27620B5A087}" name="ROA" dataDxfId="1"/>
    <tableColumn id="7" xr3:uid="{1A4DFC9D-EB4D-4A26-B1B9-349E9E72FA1C}" name="Current Rat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opLeftCell="A19" workbookViewId="0">
      <selection activeCell="M23" sqref="M23"/>
    </sheetView>
  </sheetViews>
  <sheetFormatPr defaultRowHeight="14.4"/>
  <cols>
    <col min="1" max="1" width="20.6640625" customWidth="1"/>
    <col min="8" max="8" width="51.33203125" customWidth="1"/>
  </cols>
  <sheetData>
    <row r="1" spans="1:8" ht="25.8">
      <c r="A1" s="76" t="s">
        <v>0</v>
      </c>
      <c r="B1" s="76"/>
      <c r="C1" s="76"/>
      <c r="D1" s="76"/>
      <c r="E1" s="76"/>
      <c r="F1" s="76"/>
      <c r="G1" s="76"/>
      <c r="H1" s="76"/>
    </row>
    <row r="2" spans="1:8" ht="21">
      <c r="A2" s="77" t="s">
        <v>1</v>
      </c>
      <c r="B2" s="77"/>
      <c r="C2" s="77"/>
      <c r="D2" s="77"/>
      <c r="E2" s="77"/>
      <c r="F2" s="77"/>
      <c r="G2" s="77"/>
      <c r="H2" s="77"/>
    </row>
    <row r="3" spans="1:8">
      <c r="A3" s="78" t="s">
        <v>2</v>
      </c>
      <c r="B3" s="78"/>
      <c r="C3" s="78"/>
      <c r="D3" s="78"/>
      <c r="E3" s="78"/>
      <c r="F3" s="78"/>
      <c r="G3" s="78"/>
      <c r="H3" s="78"/>
    </row>
    <row r="4" spans="1:8">
      <c r="A4" s="71"/>
      <c r="B4" s="71"/>
      <c r="C4" s="71"/>
      <c r="D4" s="71"/>
      <c r="E4" s="71"/>
      <c r="F4" s="71"/>
      <c r="G4" s="71"/>
      <c r="H4" s="71"/>
    </row>
    <row r="5" spans="1:8" ht="18">
      <c r="A5" s="70" t="s">
        <v>3</v>
      </c>
      <c r="B5" s="70"/>
      <c r="C5" s="70"/>
      <c r="D5" s="70"/>
      <c r="E5" s="70"/>
      <c r="F5" s="70"/>
      <c r="G5" s="70"/>
      <c r="H5" s="70"/>
    </row>
    <row r="6" spans="1:8" ht="18">
      <c r="A6" s="1" t="s">
        <v>4</v>
      </c>
      <c r="B6" s="64" t="s">
        <v>1</v>
      </c>
      <c r="C6" s="64"/>
      <c r="D6" s="64"/>
      <c r="E6" s="64"/>
      <c r="F6" s="64"/>
      <c r="G6" s="64"/>
      <c r="H6" s="64"/>
    </row>
    <row r="7" spans="1:8" ht="18">
      <c r="A7" s="1" t="s">
        <v>5</v>
      </c>
      <c r="B7" s="72" t="s">
        <v>6</v>
      </c>
      <c r="C7" s="73"/>
      <c r="D7" s="73"/>
      <c r="E7" s="73"/>
      <c r="F7" s="73"/>
      <c r="G7" s="73"/>
      <c r="H7" s="73"/>
    </row>
    <row r="8" spans="1:8" ht="18">
      <c r="A8" s="1" t="s">
        <v>7</v>
      </c>
      <c r="B8" s="64">
        <v>1968</v>
      </c>
      <c r="C8" s="64"/>
      <c r="D8" s="64"/>
      <c r="E8" s="64"/>
      <c r="F8" s="64"/>
      <c r="G8" s="64"/>
      <c r="H8" s="64"/>
    </row>
    <row r="9" spans="1:8" ht="18">
      <c r="A9" s="1" t="s">
        <v>8</v>
      </c>
      <c r="B9" s="72" t="s">
        <v>9</v>
      </c>
      <c r="C9" s="72"/>
      <c r="D9" s="72"/>
      <c r="E9" s="72"/>
      <c r="F9" s="72"/>
      <c r="G9" s="72"/>
      <c r="H9" s="72"/>
    </row>
    <row r="10" spans="1:8" ht="18">
      <c r="A10" s="1" t="s">
        <v>10</v>
      </c>
      <c r="B10" s="64" t="s">
        <v>11</v>
      </c>
      <c r="C10" s="64"/>
      <c r="D10" s="64"/>
      <c r="E10" s="64"/>
      <c r="F10" s="64"/>
      <c r="G10" s="64"/>
      <c r="H10" s="64"/>
    </row>
    <row r="11" spans="1:8" ht="18">
      <c r="A11" s="1" t="s">
        <v>12</v>
      </c>
      <c r="B11" s="72" t="s">
        <v>13</v>
      </c>
      <c r="C11" s="72"/>
      <c r="D11" s="72"/>
      <c r="E11" s="72"/>
      <c r="F11" s="72"/>
      <c r="G11" s="72"/>
      <c r="H11" s="72"/>
    </row>
    <row r="12" spans="1:8" ht="18">
      <c r="A12" s="1" t="s">
        <v>14</v>
      </c>
      <c r="B12" s="64" t="s">
        <v>15</v>
      </c>
      <c r="C12" s="64"/>
      <c r="D12" s="64"/>
      <c r="E12" s="64"/>
      <c r="F12" s="64"/>
      <c r="G12" s="64"/>
      <c r="H12" s="64"/>
    </row>
    <row r="13" spans="1:8" ht="18">
      <c r="A13" s="1" t="s">
        <v>16</v>
      </c>
      <c r="B13" s="79">
        <v>584519</v>
      </c>
      <c r="C13" s="72"/>
      <c r="D13" s="72"/>
      <c r="E13" s="72"/>
      <c r="F13" s="72"/>
      <c r="G13" s="72"/>
      <c r="H13" s="72"/>
    </row>
    <row r="14" spans="1:8" ht="18">
      <c r="A14" s="1" t="s">
        <v>17</v>
      </c>
      <c r="B14" s="64" t="s">
        <v>18</v>
      </c>
      <c r="C14" s="64"/>
      <c r="D14" s="64"/>
      <c r="E14" s="64"/>
      <c r="F14" s="64"/>
      <c r="G14" s="64"/>
      <c r="H14" s="64"/>
    </row>
    <row r="16" spans="1:8" ht="18">
      <c r="A16" s="70" t="s">
        <v>19</v>
      </c>
      <c r="B16" s="70"/>
      <c r="C16" s="70"/>
      <c r="D16" s="70"/>
      <c r="E16" s="70"/>
      <c r="F16" s="70"/>
      <c r="G16" s="70"/>
      <c r="H16" s="70"/>
    </row>
    <row r="17" spans="1:16" ht="18">
      <c r="A17" s="64" t="s">
        <v>20</v>
      </c>
      <c r="B17" s="74"/>
      <c r="C17" s="74"/>
      <c r="D17" s="74"/>
      <c r="E17" s="74"/>
      <c r="F17" s="74"/>
      <c r="G17" s="74"/>
      <c r="H17" s="74"/>
    </row>
    <row r="18" spans="1:16" ht="15">
      <c r="A18" s="66" t="s">
        <v>21</v>
      </c>
      <c r="B18" s="75"/>
      <c r="C18" s="75"/>
      <c r="D18" s="75"/>
      <c r="E18" s="75"/>
      <c r="F18" s="75"/>
      <c r="G18" s="75"/>
      <c r="H18" s="75"/>
    </row>
    <row r="19" spans="1:16" ht="18">
      <c r="A19" s="66" t="s">
        <v>22</v>
      </c>
      <c r="B19" s="66"/>
      <c r="C19" s="66"/>
      <c r="D19" s="66"/>
      <c r="E19" s="66"/>
      <c r="F19" s="66"/>
      <c r="G19" s="66"/>
      <c r="H19" s="66"/>
    </row>
    <row r="20" spans="1:16" ht="18">
      <c r="A20" s="66" t="s">
        <v>23</v>
      </c>
      <c r="B20" s="66"/>
      <c r="C20" s="66"/>
      <c r="D20" s="66"/>
      <c r="E20" s="66"/>
      <c r="F20" s="66"/>
      <c r="G20" s="66"/>
      <c r="H20" s="66"/>
    </row>
    <row r="21" spans="1:16" ht="18">
      <c r="A21" s="69" t="s">
        <v>24</v>
      </c>
      <c r="B21" s="69"/>
      <c r="C21" s="69"/>
      <c r="D21" s="69"/>
      <c r="E21" s="69"/>
      <c r="F21" s="69"/>
      <c r="G21" s="69"/>
      <c r="H21" s="69"/>
    </row>
    <row r="22" spans="1:16" ht="18">
      <c r="A22" s="66" t="s">
        <v>25</v>
      </c>
      <c r="B22" s="66"/>
      <c r="C22" s="66"/>
      <c r="D22" s="66"/>
      <c r="E22" s="66"/>
      <c r="F22" s="66"/>
      <c r="G22" s="66"/>
      <c r="H22" s="66"/>
    </row>
    <row r="24" spans="1:16" ht="21">
      <c r="A24" s="67" t="s">
        <v>26</v>
      </c>
      <c r="B24" s="67"/>
      <c r="C24" s="67"/>
      <c r="D24" s="67"/>
      <c r="E24" s="67"/>
      <c r="F24" s="67"/>
      <c r="G24" s="67"/>
      <c r="H24" s="67"/>
    </row>
    <row r="25" spans="1:16" ht="18">
      <c r="A25" s="68" t="s">
        <v>27</v>
      </c>
      <c r="B25" s="68"/>
      <c r="C25" s="68"/>
      <c r="D25" s="68"/>
      <c r="E25" s="68"/>
      <c r="F25" s="68"/>
      <c r="G25" s="68"/>
      <c r="H25" s="68"/>
      <c r="I25" s="56"/>
      <c r="J25" s="56"/>
      <c r="K25" s="56"/>
      <c r="L25" s="56"/>
      <c r="M25" s="56"/>
      <c r="N25" s="56"/>
      <c r="O25" s="56"/>
      <c r="P25" s="56"/>
    </row>
    <row r="26" spans="1:16" ht="18">
      <c r="A26" s="68" t="s">
        <v>28</v>
      </c>
      <c r="B26" s="68"/>
      <c r="C26" s="68"/>
      <c r="D26" s="68"/>
      <c r="E26" s="68"/>
      <c r="F26" s="68"/>
      <c r="G26" s="68"/>
      <c r="H26" s="68"/>
    </row>
    <row r="27" spans="1:16" ht="18">
      <c r="A27" s="3"/>
      <c r="B27" s="3"/>
      <c r="C27" s="3"/>
      <c r="D27" s="3"/>
      <c r="E27" s="3"/>
      <c r="F27" s="3"/>
      <c r="G27" s="3"/>
      <c r="H27" s="3"/>
    </row>
    <row r="29" spans="1:16" ht="21">
      <c r="A29" s="62" t="s">
        <v>29</v>
      </c>
      <c r="B29" s="63"/>
      <c r="C29" s="63"/>
      <c r="D29" s="63"/>
      <c r="E29" s="63"/>
      <c r="F29" s="63"/>
      <c r="G29" s="63"/>
      <c r="H29" s="63"/>
    </row>
    <row r="30" spans="1:16" ht="18">
      <c r="A30" s="64" t="s">
        <v>30</v>
      </c>
      <c r="B30" s="64"/>
      <c r="C30" s="64"/>
      <c r="D30" s="64"/>
      <c r="E30" s="64"/>
      <c r="F30" s="64"/>
      <c r="G30" s="64"/>
      <c r="H30" s="64"/>
    </row>
    <row r="31" spans="1:16" ht="18">
      <c r="A31" s="64" t="s">
        <v>31</v>
      </c>
      <c r="B31" s="64"/>
      <c r="C31" s="64"/>
      <c r="D31" s="64"/>
      <c r="E31" s="64"/>
      <c r="F31" s="64"/>
      <c r="G31" s="64"/>
      <c r="H31" s="64"/>
    </row>
    <row r="32" spans="1:16" ht="18">
      <c r="A32" s="64" t="s">
        <v>32</v>
      </c>
      <c r="B32" s="64"/>
      <c r="C32" s="64"/>
      <c r="D32" s="64"/>
      <c r="E32" s="64"/>
      <c r="F32" s="64"/>
      <c r="G32" s="64"/>
      <c r="H32" s="64"/>
    </row>
    <row r="33" spans="1:8" ht="18">
      <c r="A33" s="64" t="s">
        <v>33</v>
      </c>
      <c r="B33" s="64"/>
      <c r="C33" s="64"/>
      <c r="D33" s="64"/>
      <c r="E33" s="64"/>
      <c r="F33" s="64"/>
      <c r="G33" s="64"/>
      <c r="H33" s="64"/>
    </row>
    <row r="34" spans="1:8" ht="18">
      <c r="A34" s="64" t="s">
        <v>34</v>
      </c>
      <c r="B34" s="64"/>
      <c r="C34" s="64"/>
      <c r="D34" s="64"/>
      <c r="E34" s="64"/>
      <c r="F34" s="64"/>
      <c r="G34" s="64"/>
      <c r="H34" s="64"/>
    </row>
    <row r="35" spans="1:8">
      <c r="A35" s="65"/>
      <c r="B35" s="65"/>
      <c r="C35" s="65"/>
      <c r="D35" s="65"/>
      <c r="E35" s="65"/>
      <c r="F35" s="65"/>
      <c r="G35" s="65"/>
      <c r="H35" s="65"/>
    </row>
  </sheetData>
  <mergeCells count="32">
    <mergeCell ref="A1:H1"/>
    <mergeCell ref="A2:H2"/>
    <mergeCell ref="A3:H3"/>
    <mergeCell ref="B12:H12"/>
    <mergeCell ref="B13:H13"/>
    <mergeCell ref="A21:H21"/>
    <mergeCell ref="B14:H14"/>
    <mergeCell ref="A5:H5"/>
    <mergeCell ref="A4:H4"/>
    <mergeCell ref="B6:H6"/>
    <mergeCell ref="B7:H7"/>
    <mergeCell ref="B8:H8"/>
    <mergeCell ref="B9:H9"/>
    <mergeCell ref="B10:H10"/>
    <mergeCell ref="B11:H11"/>
    <mergeCell ref="A16:H16"/>
    <mergeCell ref="A17:H17"/>
    <mergeCell ref="A18:H18"/>
    <mergeCell ref="A19:H19"/>
    <mergeCell ref="A20:H20"/>
    <mergeCell ref="A33:H33"/>
    <mergeCell ref="A34:H34"/>
    <mergeCell ref="A35:H35"/>
    <mergeCell ref="A22:H22"/>
    <mergeCell ref="A24:H24"/>
    <mergeCell ref="A25:H25"/>
    <mergeCell ref="A26:H26"/>
    <mergeCell ref="I25:P25"/>
    <mergeCell ref="A29:H29"/>
    <mergeCell ref="A30:H30"/>
    <mergeCell ref="A31:H31"/>
    <mergeCell ref="A32:H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FC57-E747-4730-8A36-3014CCC95212}">
  <dimension ref="A1:K107"/>
  <sheetViews>
    <sheetView topLeftCell="B20" zoomScale="89" workbookViewId="0">
      <selection activeCell="D24" sqref="D24"/>
    </sheetView>
  </sheetViews>
  <sheetFormatPr defaultRowHeight="14.4"/>
  <cols>
    <col min="1" max="1" width="11.109375" customWidth="1"/>
    <col min="2" max="2" width="50" customWidth="1"/>
    <col min="3" max="3" width="18.5546875" customWidth="1"/>
    <col min="4" max="4" width="18" customWidth="1"/>
    <col min="5" max="5" width="17.33203125" customWidth="1"/>
    <col min="6" max="6" width="23.21875" customWidth="1"/>
    <col min="8" max="8" width="16.109375" bestFit="1" customWidth="1"/>
    <col min="9" max="9" width="11.88671875" bestFit="1" customWidth="1"/>
    <col min="11" max="11" width="11.88671875" bestFit="1" customWidth="1"/>
  </cols>
  <sheetData>
    <row r="1" spans="1:11" ht="25.8">
      <c r="A1" s="93" t="s">
        <v>35</v>
      </c>
      <c r="B1" s="93"/>
      <c r="C1" s="93"/>
      <c r="D1" s="93"/>
      <c r="E1" s="93"/>
      <c r="F1" s="93"/>
      <c r="G1" s="93"/>
      <c r="H1" s="93"/>
    </row>
    <row r="2" spans="1:11">
      <c r="F2" s="10" t="s">
        <v>45</v>
      </c>
    </row>
    <row r="3" spans="1:11" ht="21">
      <c r="A3" s="94" t="s">
        <v>36</v>
      </c>
      <c r="B3" s="94"/>
      <c r="C3" s="94"/>
      <c r="D3" s="94"/>
      <c r="E3" s="94"/>
      <c r="F3" s="94"/>
      <c r="G3" s="94"/>
      <c r="H3" s="94"/>
    </row>
    <row r="4" spans="1:11" ht="18">
      <c r="A4" s="90" t="s">
        <v>37</v>
      </c>
      <c r="B4" s="90"/>
      <c r="C4" s="5" t="s">
        <v>41</v>
      </c>
      <c r="D4" s="6" t="s">
        <v>38</v>
      </c>
      <c r="E4" s="6" t="s">
        <v>39</v>
      </c>
      <c r="F4" s="6" t="s">
        <v>40</v>
      </c>
      <c r="G4" s="3"/>
      <c r="H4" s="3"/>
    </row>
    <row r="5" spans="1:11" ht="18">
      <c r="A5" s="87" t="s">
        <v>42</v>
      </c>
      <c r="B5" s="87"/>
      <c r="C5" s="8">
        <v>191754</v>
      </c>
      <c r="D5" s="8">
        <v>225458</v>
      </c>
      <c r="E5" s="8">
        <v>240893</v>
      </c>
      <c r="F5" s="8">
        <v>255324</v>
      </c>
    </row>
    <row r="6" spans="1:11" ht="18">
      <c r="A6" s="87" t="s">
        <v>43</v>
      </c>
      <c r="B6" s="87"/>
      <c r="C6" s="9">
        <v>4018</v>
      </c>
      <c r="D6" s="9">
        <v>3449</v>
      </c>
      <c r="E6" s="9">
        <v>4422</v>
      </c>
      <c r="F6" s="9">
        <v>3962</v>
      </c>
    </row>
    <row r="7" spans="1:11" ht="18">
      <c r="A7" s="95" t="s">
        <v>44</v>
      </c>
      <c r="B7" s="95"/>
      <c r="C7" s="11">
        <v>195772</v>
      </c>
      <c r="D7" s="11">
        <v>228907</v>
      </c>
      <c r="E7" s="11">
        <v>245315</v>
      </c>
      <c r="F7" s="11">
        <v>259286</v>
      </c>
      <c r="G7" s="13"/>
      <c r="K7" s="24"/>
    </row>
    <row r="8" spans="1:11" ht="18">
      <c r="A8" s="86" t="s">
        <v>46</v>
      </c>
      <c r="B8" s="87"/>
      <c r="C8" s="8"/>
      <c r="D8" s="8"/>
      <c r="E8" s="8"/>
      <c r="F8" s="8"/>
    </row>
    <row r="9" spans="1:11" ht="18">
      <c r="A9" s="87" t="s">
        <v>47</v>
      </c>
      <c r="B9" s="87"/>
      <c r="C9" s="8">
        <v>107554</v>
      </c>
      <c r="D9" s="8">
        <v>127522</v>
      </c>
      <c r="E9" s="8">
        <v>140131</v>
      </c>
      <c r="F9" s="8">
        <v>145788</v>
      </c>
    </row>
    <row r="10" spans="1:11" ht="18">
      <c r="A10" s="87" t="s">
        <v>48</v>
      </c>
      <c r="B10" s="87"/>
      <c r="C10" s="8">
        <v>784</v>
      </c>
      <c r="D10" s="8">
        <v>779</v>
      </c>
      <c r="E10" s="8">
        <v>778</v>
      </c>
      <c r="F10" s="8">
        <v>796</v>
      </c>
    </row>
    <row r="11" spans="1:11" ht="18">
      <c r="A11" s="87" t="s">
        <v>49</v>
      </c>
      <c r="B11" s="87"/>
      <c r="C11" s="8">
        <v>1163</v>
      </c>
      <c r="D11" s="8">
        <v>1881</v>
      </c>
      <c r="E11" s="8">
        <v>3702</v>
      </c>
      <c r="F11" s="8">
        <v>11648</v>
      </c>
    </row>
    <row r="12" spans="1:11" ht="18">
      <c r="A12" s="87" t="s">
        <v>50</v>
      </c>
      <c r="B12" s="87"/>
      <c r="C12" s="8">
        <v>4604</v>
      </c>
      <c r="D12" s="8">
        <v>5022</v>
      </c>
      <c r="E12" s="8">
        <v>4985</v>
      </c>
      <c r="F12" s="8">
        <v>5242</v>
      </c>
    </row>
    <row r="13" spans="1:11" ht="18">
      <c r="A13" s="87" t="s">
        <v>51</v>
      </c>
      <c r="B13" s="87"/>
      <c r="C13" s="8">
        <v>29980</v>
      </c>
      <c r="D13" s="8">
        <v>36796</v>
      </c>
      <c r="E13" s="8">
        <v>32764</v>
      </c>
      <c r="F13" s="8">
        <v>30481</v>
      </c>
    </row>
    <row r="14" spans="1:11" ht="18">
      <c r="A14" s="88" t="s">
        <v>52</v>
      </c>
      <c r="B14" s="88"/>
      <c r="C14" s="12">
        <f>SUM(C9:C13)</f>
        <v>144085</v>
      </c>
      <c r="D14" s="12">
        <f>SUM(D9:D13)</f>
        <v>172000</v>
      </c>
      <c r="E14" s="12">
        <f>SUM(E9:E13)</f>
        <v>182360</v>
      </c>
      <c r="F14" s="12">
        <f>SUM(F9:F13)</f>
        <v>193955</v>
      </c>
      <c r="G14" s="13"/>
    </row>
    <row r="15" spans="1:11" ht="18">
      <c r="A15" s="86" t="s">
        <v>53</v>
      </c>
      <c r="B15" s="86"/>
      <c r="C15" s="8">
        <v>51687</v>
      </c>
      <c r="D15" s="8">
        <v>56907</v>
      </c>
      <c r="E15" s="8">
        <v>61997</v>
      </c>
      <c r="F15" s="8">
        <v>65331</v>
      </c>
      <c r="H15" s="8"/>
    </row>
    <row r="16" spans="1:11" ht="18">
      <c r="A16" s="87" t="s">
        <v>54</v>
      </c>
      <c r="B16" s="87"/>
      <c r="C16" s="8">
        <v>13238</v>
      </c>
      <c r="D16" s="8">
        <v>14604</v>
      </c>
      <c r="E16" s="8">
        <v>15898</v>
      </c>
      <c r="F16" s="8">
        <v>16534</v>
      </c>
    </row>
    <row r="17" spans="1:6" ht="18">
      <c r="A17" s="88" t="s">
        <v>55</v>
      </c>
      <c r="B17" s="89"/>
      <c r="C17" s="12">
        <v>38449</v>
      </c>
      <c r="D17" s="12">
        <v>42303</v>
      </c>
      <c r="E17" s="12">
        <v>46099</v>
      </c>
      <c r="F17" s="12">
        <v>48797</v>
      </c>
    </row>
    <row r="18" spans="1:6" ht="18">
      <c r="A18" s="87" t="s">
        <v>56</v>
      </c>
      <c r="B18" s="87"/>
      <c r="C18" s="7">
        <v>3698832195</v>
      </c>
      <c r="D18" s="7">
        <v>3659051373</v>
      </c>
      <c r="E18" s="7">
        <v>3646851755</v>
      </c>
      <c r="F18" s="14">
        <v>3618087518</v>
      </c>
    </row>
    <row r="19" spans="1:6" ht="18">
      <c r="A19" s="88" t="s">
        <v>57</v>
      </c>
      <c r="B19" s="88"/>
      <c r="C19" s="19">
        <v>103.949</v>
      </c>
      <c r="D19" s="19">
        <v>115.61</v>
      </c>
      <c r="E19" s="19">
        <v>126.4</v>
      </c>
      <c r="F19" s="19">
        <v>134.86000000000001</v>
      </c>
    </row>
    <row r="20" spans="1:6" ht="18">
      <c r="A20" s="3"/>
      <c r="B20" s="3"/>
      <c r="C20" s="8"/>
      <c r="D20" s="8"/>
      <c r="E20" s="8"/>
      <c r="F20" t="s">
        <v>60</v>
      </c>
    </row>
    <row r="21" spans="1:6" ht="21" customHeight="1">
      <c r="A21" s="85" t="s">
        <v>58</v>
      </c>
      <c r="B21" s="85"/>
      <c r="C21" s="85"/>
      <c r="D21" s="85"/>
      <c r="E21" s="85"/>
      <c r="F21" s="85"/>
    </row>
    <row r="22" spans="1:6" ht="18">
      <c r="A22" s="84" t="s">
        <v>59</v>
      </c>
      <c r="B22" s="69"/>
      <c r="C22" s="18" t="s">
        <v>41</v>
      </c>
      <c r="D22" s="18" t="s">
        <v>38</v>
      </c>
      <c r="E22" s="18" t="s">
        <v>39</v>
      </c>
      <c r="F22" s="18" t="s">
        <v>40</v>
      </c>
    </row>
    <row r="23" spans="1:6" ht="18">
      <c r="A23" s="84" t="s">
        <v>62</v>
      </c>
      <c r="B23" s="84"/>
      <c r="C23" s="15"/>
      <c r="D23" s="15"/>
      <c r="E23" s="15"/>
      <c r="F23" s="16"/>
    </row>
    <row r="24" spans="1:6" ht="18" customHeight="1">
      <c r="A24" s="81" t="s">
        <v>66</v>
      </c>
      <c r="B24" s="81"/>
      <c r="C24" s="15">
        <v>33204</v>
      </c>
      <c r="D24" s="15">
        <v>33381</v>
      </c>
      <c r="E24" s="15">
        <v>33465</v>
      </c>
      <c r="F24" s="15">
        <v>36618</v>
      </c>
    </row>
    <row r="25" spans="1:6" ht="18" customHeight="1">
      <c r="A25" s="81" t="s">
        <v>67</v>
      </c>
      <c r="B25" s="81"/>
      <c r="C25" s="15">
        <v>108310</v>
      </c>
      <c r="D25" s="15">
        <v>110270</v>
      </c>
      <c r="E25" s="15">
        <v>112984</v>
      </c>
      <c r="F25" s="15">
        <v>123011</v>
      </c>
    </row>
    <row r="26" spans="1:6" ht="18" customHeight="1">
      <c r="A26" s="82" t="s">
        <v>61</v>
      </c>
      <c r="B26" s="82"/>
      <c r="C26" s="17">
        <f>SUM(C24:C25)</f>
        <v>141514</v>
      </c>
      <c r="D26" s="17">
        <f>SUM(D24:D25)</f>
        <v>143651</v>
      </c>
      <c r="E26" s="17">
        <f>SUM(E24:E25)</f>
        <v>146449</v>
      </c>
      <c r="F26" s="17">
        <f>SUM(F24:F25)</f>
        <v>159629</v>
      </c>
    </row>
    <row r="27" spans="1:6" ht="18" customHeight="1">
      <c r="A27" s="80" t="s">
        <v>63</v>
      </c>
      <c r="B27" s="80"/>
      <c r="C27" s="15"/>
      <c r="D27" s="15"/>
      <c r="E27" s="15"/>
      <c r="F27" s="15"/>
    </row>
    <row r="28" spans="1:6" ht="18" customHeight="1">
      <c r="A28" s="81" t="s">
        <v>68</v>
      </c>
      <c r="B28" s="81"/>
      <c r="C28" s="15">
        <v>89846</v>
      </c>
      <c r="D28" s="15">
        <v>91206</v>
      </c>
      <c r="E28" s="15">
        <v>91319</v>
      </c>
      <c r="F28" s="15">
        <v>95771</v>
      </c>
    </row>
    <row r="29" spans="1:6" ht="18" customHeight="1">
      <c r="A29" s="81" t="s">
        <v>69</v>
      </c>
      <c r="B29" s="81"/>
      <c r="C29" s="15">
        <v>9317</v>
      </c>
      <c r="D29" s="15">
        <v>8887</v>
      </c>
      <c r="E29" s="15">
        <v>9026</v>
      </c>
      <c r="F29" s="15">
        <v>10857</v>
      </c>
    </row>
    <row r="30" spans="1:6" ht="18" customHeight="1">
      <c r="A30" s="81" t="s">
        <v>70</v>
      </c>
      <c r="B30" s="81"/>
      <c r="C30" s="15">
        <v>42351</v>
      </c>
      <c r="D30" s="15">
        <v>43558</v>
      </c>
      <c r="E30" s="15">
        <v>46104</v>
      </c>
      <c r="F30" s="15">
        <v>53001</v>
      </c>
    </row>
    <row r="31" spans="1:6" ht="18" customHeight="1">
      <c r="A31" s="82" t="s">
        <v>64</v>
      </c>
      <c r="B31" s="83"/>
      <c r="C31" s="17">
        <f>SUM(C28:C30)</f>
        <v>141514</v>
      </c>
      <c r="D31" s="17">
        <f>SUM(D28:D30)</f>
        <v>143651</v>
      </c>
      <c r="E31" s="17">
        <f>SUM(E28:E30)</f>
        <v>146449</v>
      </c>
      <c r="F31" s="17">
        <f>SUM(F28:F30)</f>
        <v>159629</v>
      </c>
    </row>
    <row r="32" spans="1:6" ht="14.4" customHeight="1">
      <c r="A32" s="2"/>
      <c r="B32" s="2"/>
      <c r="C32" s="2"/>
      <c r="D32" s="2"/>
      <c r="E32" s="2"/>
      <c r="F32" s="2" t="s">
        <v>72</v>
      </c>
    </row>
    <row r="33" spans="1:9" ht="21" customHeight="1">
      <c r="A33" s="91" t="s">
        <v>65</v>
      </c>
      <c r="B33" s="92"/>
      <c r="C33" s="92"/>
      <c r="D33" s="92"/>
      <c r="E33" s="92"/>
      <c r="F33" s="92"/>
    </row>
    <row r="34" spans="1:9" ht="18" customHeight="1">
      <c r="A34" s="84" t="s">
        <v>59</v>
      </c>
      <c r="B34" s="84"/>
      <c r="C34" s="20" t="s">
        <v>41</v>
      </c>
      <c r="D34" s="20" t="s">
        <v>38</v>
      </c>
      <c r="E34" s="20" t="s">
        <v>39</v>
      </c>
      <c r="F34" s="20" t="s">
        <v>40</v>
      </c>
      <c r="I34" s="24"/>
    </row>
    <row r="35" spans="1:9" ht="18" customHeight="1">
      <c r="A35" s="69" t="s">
        <v>71</v>
      </c>
      <c r="B35" s="69"/>
      <c r="C35" s="21">
        <v>39949</v>
      </c>
      <c r="D35" s="21">
        <v>41965</v>
      </c>
      <c r="E35" s="21">
        <v>44338</v>
      </c>
      <c r="F35" s="21">
        <v>48908</v>
      </c>
    </row>
    <row r="36" spans="1:9" ht="18" customHeight="1">
      <c r="A36" s="69" t="s">
        <v>73</v>
      </c>
      <c r="B36" s="69"/>
      <c r="C36" s="21">
        <v>-897</v>
      </c>
      <c r="D36" s="21">
        <v>39</v>
      </c>
      <c r="E36" s="21">
        <v>6026</v>
      </c>
      <c r="F36" s="21">
        <v>-2318</v>
      </c>
    </row>
    <row r="37" spans="1:9" ht="18" customHeight="1">
      <c r="A37" s="69" t="s">
        <v>74</v>
      </c>
      <c r="B37" s="69"/>
      <c r="C37" s="21">
        <v>-33581</v>
      </c>
      <c r="D37" s="21">
        <v>-48878</v>
      </c>
      <c r="E37" s="21">
        <v>-48536</v>
      </c>
      <c r="F37" s="21">
        <v>-47438</v>
      </c>
    </row>
    <row r="38" spans="1:9" ht="18" customHeight="1">
      <c r="A38" s="69" t="s">
        <v>75</v>
      </c>
      <c r="B38" s="69"/>
      <c r="C38" s="21">
        <f>SUM(C35:C37)</f>
        <v>5471</v>
      </c>
      <c r="D38" s="21">
        <f>SUM(D35:D37)</f>
        <v>-6874</v>
      </c>
      <c r="E38" s="21">
        <f>SUM(E35:E37)</f>
        <v>1828</v>
      </c>
      <c r="F38" s="21">
        <f>SUM(F35:F37)</f>
        <v>-848</v>
      </c>
    </row>
    <row r="39" spans="1:9" ht="18" customHeight="1">
      <c r="A39" s="69" t="s">
        <v>76</v>
      </c>
      <c r="B39" s="69"/>
      <c r="C39" s="21">
        <v>12488</v>
      </c>
      <c r="D39" s="21">
        <v>7123</v>
      </c>
      <c r="E39" s="21">
        <v>9016</v>
      </c>
      <c r="F39" s="21">
        <v>8342</v>
      </c>
    </row>
    <row r="40" spans="1:9" ht="18" customHeight="1">
      <c r="A40" s="87"/>
      <c r="B40" s="87"/>
      <c r="C40" s="8"/>
      <c r="D40" s="8"/>
      <c r="E40" s="8"/>
      <c r="F40" s="8"/>
    </row>
    <row r="41" spans="1:9" ht="18">
      <c r="A41" s="87"/>
      <c r="B41" s="87"/>
      <c r="C41" s="8"/>
      <c r="D41" s="8"/>
      <c r="E41" s="8"/>
      <c r="F41" s="8"/>
    </row>
    <row r="42" spans="1:9" ht="18">
      <c r="A42" s="87"/>
      <c r="B42" s="87"/>
      <c r="C42" s="8"/>
      <c r="D42" s="8"/>
      <c r="E42" s="8"/>
      <c r="F42" s="8"/>
    </row>
    <row r="43" spans="1:9" ht="18">
      <c r="A43" s="87"/>
      <c r="B43" s="87"/>
      <c r="C43" s="8"/>
      <c r="D43" s="8"/>
      <c r="E43" s="8"/>
      <c r="F43" s="8"/>
    </row>
    <row r="44" spans="1:9" ht="18">
      <c r="A44" s="87"/>
      <c r="B44" s="87"/>
      <c r="C44" s="3"/>
      <c r="D44" s="3"/>
      <c r="E44" s="3"/>
      <c r="F44" s="3"/>
    </row>
    <row r="45" spans="1:9" ht="18">
      <c r="A45" s="3"/>
      <c r="B45" s="3"/>
      <c r="C45" s="3"/>
      <c r="D45" s="3"/>
      <c r="E45" s="3"/>
      <c r="F45" s="3"/>
    </row>
    <row r="46" spans="1:9" ht="18">
      <c r="A46" s="3"/>
      <c r="B46" s="3"/>
      <c r="C46" s="3"/>
      <c r="D46" s="3"/>
      <c r="E46" s="3"/>
      <c r="F46" s="3"/>
    </row>
    <row r="47" spans="1:9" ht="18">
      <c r="A47" s="3"/>
      <c r="B47" s="3"/>
      <c r="C47" s="3"/>
      <c r="D47" s="3"/>
      <c r="E47" s="3"/>
      <c r="F47" s="3"/>
    </row>
    <row r="48" spans="1:9" ht="18">
      <c r="A48" s="3"/>
      <c r="B48" s="3"/>
      <c r="C48" s="3"/>
      <c r="D48" s="3"/>
      <c r="E48" s="3"/>
      <c r="F48" s="3"/>
    </row>
    <row r="49" spans="1:6" ht="18">
      <c r="A49" s="3"/>
      <c r="B49" s="3"/>
      <c r="C49" s="3"/>
      <c r="D49" s="3"/>
      <c r="E49" s="3"/>
      <c r="F49" s="3"/>
    </row>
    <row r="50" spans="1:6" ht="18">
      <c r="A50" s="3"/>
      <c r="B50" s="3"/>
      <c r="C50" s="3"/>
      <c r="D50" s="3"/>
      <c r="E50" s="3"/>
      <c r="F50" s="3"/>
    </row>
    <row r="51" spans="1:6" ht="18">
      <c r="A51" s="3"/>
      <c r="B51" s="3"/>
      <c r="C51" s="3"/>
      <c r="D51" s="3"/>
      <c r="E51" s="3"/>
      <c r="F51" s="3"/>
    </row>
    <row r="52" spans="1:6" ht="18">
      <c r="A52" s="3"/>
      <c r="B52" s="3"/>
      <c r="C52" s="3"/>
      <c r="D52" s="3"/>
      <c r="E52" s="3"/>
      <c r="F52" s="3"/>
    </row>
    <row r="53" spans="1:6" ht="18">
      <c r="A53" s="3"/>
      <c r="B53" s="3"/>
      <c r="C53" s="3"/>
      <c r="D53" s="3"/>
      <c r="E53" s="3"/>
      <c r="F53" s="3"/>
    </row>
    <row r="54" spans="1:6" ht="18">
      <c r="A54" s="3"/>
      <c r="B54" s="3"/>
      <c r="C54" s="3"/>
      <c r="D54" s="3"/>
      <c r="E54" s="3"/>
      <c r="F54" s="3"/>
    </row>
    <row r="55" spans="1:6" ht="18">
      <c r="A55" s="3"/>
      <c r="B55" s="3"/>
      <c r="C55" s="3"/>
      <c r="D55" s="3"/>
      <c r="E55" s="3"/>
      <c r="F55" s="3"/>
    </row>
    <row r="56" spans="1:6" ht="18">
      <c r="A56" s="3"/>
      <c r="B56" s="3"/>
      <c r="C56" s="3"/>
      <c r="D56" s="3"/>
      <c r="E56" s="3"/>
    </row>
    <row r="57" spans="1:6" ht="18">
      <c r="A57" s="3"/>
      <c r="B57" s="3"/>
      <c r="C57" s="3"/>
      <c r="D57" s="3"/>
      <c r="E57" s="3"/>
    </row>
    <row r="58" spans="1:6" ht="18">
      <c r="A58" s="3"/>
      <c r="B58" s="3"/>
      <c r="C58" s="3"/>
      <c r="D58" s="3"/>
      <c r="E58" s="3"/>
    </row>
    <row r="59" spans="1:6" ht="18">
      <c r="A59" s="3"/>
      <c r="B59" s="3"/>
      <c r="C59" s="3"/>
      <c r="D59" s="3"/>
      <c r="E59" s="3"/>
    </row>
    <row r="60" spans="1:6" ht="18">
      <c r="A60" s="3"/>
      <c r="B60" s="3"/>
      <c r="C60" s="3"/>
      <c r="D60" s="3"/>
      <c r="E60" s="3"/>
    </row>
    <row r="61" spans="1:6" ht="18">
      <c r="A61" s="3"/>
      <c r="B61" s="3"/>
      <c r="C61" s="3"/>
      <c r="D61" s="3"/>
      <c r="E61" s="3"/>
    </row>
    <row r="62" spans="1:6" ht="18">
      <c r="A62" s="3"/>
      <c r="B62" s="3"/>
      <c r="C62" s="3"/>
      <c r="D62" s="3"/>
      <c r="E62" s="3"/>
    </row>
    <row r="63" spans="1:6" ht="18">
      <c r="A63" s="3"/>
      <c r="B63" s="3"/>
      <c r="C63" s="3"/>
      <c r="D63" s="3"/>
      <c r="E63" s="3"/>
    </row>
    <row r="64" spans="1:6" ht="18">
      <c r="A64" s="3"/>
      <c r="B64" s="3"/>
      <c r="C64" s="3"/>
      <c r="D64" s="3"/>
      <c r="E64" s="3"/>
    </row>
    <row r="65" spans="1:5" ht="18">
      <c r="A65" s="3"/>
      <c r="B65" s="3"/>
      <c r="C65" s="3"/>
      <c r="D65" s="3"/>
      <c r="E65" s="3"/>
    </row>
    <row r="66" spans="1:5" ht="18">
      <c r="A66" s="3"/>
      <c r="B66" s="3"/>
      <c r="C66" s="3"/>
      <c r="D66" s="3"/>
      <c r="E66" s="3"/>
    </row>
    <row r="67" spans="1:5" ht="18">
      <c r="A67" s="3"/>
      <c r="B67" s="3"/>
      <c r="C67" s="3"/>
      <c r="D67" s="3"/>
      <c r="E67" s="3"/>
    </row>
    <row r="68" spans="1:5" ht="18">
      <c r="A68" s="3"/>
      <c r="B68" s="3"/>
      <c r="C68" s="3"/>
      <c r="D68" s="3"/>
      <c r="E68" s="3"/>
    </row>
    <row r="69" spans="1:5" ht="18">
      <c r="A69" s="3"/>
      <c r="B69" s="3"/>
      <c r="C69" s="3"/>
      <c r="D69" s="3"/>
      <c r="E69" s="3"/>
    </row>
    <row r="70" spans="1:5" ht="18">
      <c r="A70" s="3"/>
      <c r="B70" s="3"/>
      <c r="C70" s="3"/>
      <c r="D70" s="3"/>
      <c r="E70" s="3"/>
    </row>
    <row r="71" spans="1:5" ht="18">
      <c r="A71" s="3"/>
      <c r="B71" s="3"/>
      <c r="C71" s="3"/>
      <c r="D71" s="3"/>
      <c r="E71" s="3"/>
    </row>
    <row r="72" spans="1:5" ht="18">
      <c r="A72" s="3"/>
      <c r="B72" s="3"/>
      <c r="C72" s="3"/>
      <c r="D72" s="3"/>
      <c r="E72" s="3"/>
    </row>
    <row r="73" spans="1:5" ht="18">
      <c r="A73" s="3"/>
      <c r="B73" s="3"/>
      <c r="C73" s="3"/>
      <c r="D73" s="3"/>
      <c r="E73" s="3"/>
    </row>
    <row r="74" spans="1:5" ht="18">
      <c r="A74" s="3"/>
      <c r="B74" s="3"/>
      <c r="C74" s="3"/>
      <c r="D74" s="3"/>
      <c r="E74" s="3"/>
    </row>
    <row r="75" spans="1:5" ht="18">
      <c r="A75" s="3"/>
      <c r="B75" s="3"/>
      <c r="C75" s="3"/>
      <c r="D75" s="3"/>
      <c r="E75" s="3"/>
    </row>
    <row r="76" spans="1:5" ht="18">
      <c r="A76" s="3"/>
      <c r="B76" s="3"/>
      <c r="C76" s="3"/>
      <c r="D76" s="3"/>
      <c r="E76" s="3"/>
    </row>
    <row r="77" spans="1:5" ht="18">
      <c r="A77" s="3"/>
      <c r="B77" s="3"/>
      <c r="C77" s="3"/>
      <c r="D77" s="3"/>
      <c r="E77" s="3"/>
    </row>
    <row r="78" spans="1:5" ht="18">
      <c r="A78" s="3"/>
      <c r="B78" s="3"/>
      <c r="C78" s="3"/>
      <c r="D78" s="3"/>
      <c r="E78" s="3"/>
    </row>
    <row r="79" spans="1:5" ht="18">
      <c r="A79" s="3"/>
      <c r="B79" s="3"/>
      <c r="C79" s="3"/>
      <c r="D79" s="3"/>
      <c r="E79" s="3"/>
    </row>
    <row r="80" spans="1:5" ht="18">
      <c r="A80" s="3"/>
      <c r="B80" s="3"/>
      <c r="C80" s="3"/>
      <c r="D80" s="3"/>
      <c r="E80" s="3"/>
    </row>
    <row r="81" spans="1:5" ht="18">
      <c r="A81" s="3"/>
      <c r="B81" s="3"/>
      <c r="C81" s="3"/>
      <c r="D81" s="3"/>
      <c r="E81" s="3"/>
    </row>
    <row r="82" spans="1:5" ht="18">
      <c r="A82" s="3"/>
      <c r="B82" s="3"/>
      <c r="C82" s="3"/>
      <c r="D82" s="3"/>
      <c r="E82" s="3"/>
    </row>
    <row r="83" spans="1:5" ht="18">
      <c r="A83" s="3"/>
      <c r="B83" s="3"/>
      <c r="C83" s="3"/>
      <c r="D83" s="3"/>
      <c r="E83" s="3"/>
    </row>
    <row r="84" spans="1:5" ht="18">
      <c r="A84" s="3"/>
      <c r="B84" s="3"/>
      <c r="C84" s="3"/>
      <c r="D84" s="3"/>
      <c r="E84" s="3"/>
    </row>
    <row r="85" spans="1:5" ht="18">
      <c r="A85" s="3"/>
      <c r="B85" s="3"/>
      <c r="C85" s="3"/>
      <c r="D85" s="3"/>
      <c r="E85" s="3"/>
    </row>
    <row r="86" spans="1:5" ht="18">
      <c r="A86" s="3"/>
      <c r="B86" s="3"/>
      <c r="C86" s="3"/>
      <c r="D86" s="3"/>
      <c r="E86" s="3"/>
    </row>
    <row r="87" spans="1:5" ht="18">
      <c r="A87" s="3"/>
      <c r="B87" s="3"/>
      <c r="C87" s="3"/>
      <c r="D87" s="3"/>
      <c r="E87" s="3"/>
    </row>
    <row r="88" spans="1:5" ht="18">
      <c r="A88" s="3"/>
      <c r="B88" s="3"/>
      <c r="C88" s="3"/>
      <c r="D88" s="3"/>
      <c r="E88" s="3"/>
    </row>
    <row r="89" spans="1:5" ht="18">
      <c r="A89" s="3"/>
      <c r="B89" s="3"/>
      <c r="C89" s="3"/>
      <c r="D89" s="3"/>
      <c r="E89" s="3"/>
    </row>
    <row r="90" spans="1:5" ht="18">
      <c r="A90" s="3"/>
      <c r="B90" s="3"/>
      <c r="C90" s="3"/>
      <c r="D90" s="3"/>
      <c r="E90" s="3"/>
    </row>
    <row r="91" spans="1:5" ht="18">
      <c r="A91" s="3"/>
      <c r="B91" s="3"/>
      <c r="C91" s="3"/>
      <c r="D91" s="3"/>
      <c r="E91" s="3"/>
    </row>
    <row r="92" spans="1:5" ht="18">
      <c r="A92" s="3"/>
      <c r="B92" s="3"/>
      <c r="C92" s="3"/>
      <c r="D92" s="3"/>
      <c r="E92" s="3"/>
    </row>
    <row r="93" spans="1:5" ht="18">
      <c r="A93" s="3"/>
      <c r="B93" s="3"/>
      <c r="C93" s="3"/>
      <c r="D93" s="3"/>
      <c r="E93" s="3"/>
    </row>
    <row r="94" spans="1:5" ht="18">
      <c r="A94" s="3"/>
      <c r="B94" s="3"/>
      <c r="C94" s="3"/>
      <c r="D94" s="3"/>
      <c r="E94" s="3"/>
    </row>
    <row r="95" spans="1:5" ht="18">
      <c r="A95" s="3"/>
      <c r="B95" s="3"/>
      <c r="C95" s="3"/>
      <c r="D95" s="3"/>
      <c r="E95" s="3"/>
    </row>
    <row r="96" spans="1:5" ht="18">
      <c r="A96" s="3"/>
      <c r="B96" s="3"/>
      <c r="C96" s="3"/>
      <c r="D96" s="3"/>
      <c r="E96" s="3"/>
    </row>
    <row r="97" spans="1:5" ht="18">
      <c r="A97" s="3"/>
      <c r="B97" s="3"/>
      <c r="C97" s="3"/>
      <c r="D97" s="3"/>
      <c r="E97" s="3"/>
    </row>
    <row r="98" spans="1:5" ht="18">
      <c r="A98" s="3"/>
      <c r="B98" s="3"/>
      <c r="C98" s="3"/>
      <c r="D98" s="3"/>
      <c r="E98" s="3"/>
    </row>
    <row r="99" spans="1:5" ht="18">
      <c r="A99" s="3"/>
      <c r="B99" s="3"/>
      <c r="C99" s="3"/>
      <c r="D99" s="3"/>
      <c r="E99" s="3"/>
    </row>
    <row r="100" spans="1:5" ht="18">
      <c r="A100" s="3"/>
      <c r="B100" s="3"/>
      <c r="C100" s="3"/>
      <c r="D100" s="3"/>
      <c r="E100" s="3"/>
    </row>
    <row r="101" spans="1:5" ht="18">
      <c r="A101" s="3"/>
      <c r="B101" s="3"/>
      <c r="C101" s="3"/>
      <c r="D101" s="3"/>
      <c r="E101" s="3"/>
    </row>
    <row r="102" spans="1:5" ht="18">
      <c r="A102" s="3"/>
      <c r="B102" s="3"/>
      <c r="C102" s="3"/>
      <c r="D102" s="3"/>
      <c r="E102" s="3"/>
    </row>
    <row r="103" spans="1:5" ht="18">
      <c r="A103" s="3"/>
      <c r="B103" s="3"/>
      <c r="C103" s="3"/>
      <c r="D103" s="3"/>
      <c r="E103" s="3"/>
    </row>
    <row r="104" spans="1:5" ht="18">
      <c r="A104" s="3"/>
      <c r="B104" s="3"/>
      <c r="C104" s="3"/>
      <c r="D104" s="3"/>
      <c r="E104" s="3"/>
    </row>
    <row r="105" spans="1:5" ht="18">
      <c r="A105" s="3"/>
      <c r="B105" s="3"/>
      <c r="C105" s="3"/>
      <c r="D105" s="3"/>
      <c r="E105" s="3"/>
    </row>
    <row r="106" spans="1:5" ht="18">
      <c r="A106" s="3"/>
      <c r="B106" s="3"/>
      <c r="C106" s="3"/>
      <c r="D106" s="3"/>
      <c r="E106" s="3"/>
    </row>
    <row r="107" spans="1:5" ht="18">
      <c r="A107" s="3"/>
      <c r="B107" s="3"/>
      <c r="C107" s="3"/>
      <c r="D107" s="3"/>
      <c r="E107" s="3"/>
    </row>
  </sheetData>
  <mergeCells count="41">
    <mergeCell ref="A39:B39"/>
    <mergeCell ref="A40:B40"/>
    <mergeCell ref="A41:B41"/>
    <mergeCell ref="A42:B42"/>
    <mergeCell ref="A43:B43"/>
    <mergeCell ref="A4:B4"/>
    <mergeCell ref="A44:B44"/>
    <mergeCell ref="A33:F33"/>
    <mergeCell ref="A1:H1"/>
    <mergeCell ref="A3:H3"/>
    <mergeCell ref="A5:B5"/>
    <mergeCell ref="A6:B6"/>
    <mergeCell ref="A7:B7"/>
    <mergeCell ref="A23:B23"/>
    <mergeCell ref="A24:B24"/>
    <mergeCell ref="A25:B25"/>
    <mergeCell ref="A26:B26"/>
    <mergeCell ref="A11:B11"/>
    <mergeCell ref="A12:B12"/>
    <mergeCell ref="A13:B13"/>
    <mergeCell ref="A14:B14"/>
    <mergeCell ref="A21:F21"/>
    <mergeCell ref="A22:B22"/>
    <mergeCell ref="A8:B8"/>
    <mergeCell ref="A9:B9"/>
    <mergeCell ref="A10:B10"/>
    <mergeCell ref="A16:B16"/>
    <mergeCell ref="A19:B19"/>
    <mergeCell ref="A17:B17"/>
    <mergeCell ref="A18:B18"/>
    <mergeCell ref="A15:B15"/>
    <mergeCell ref="A38:B38"/>
    <mergeCell ref="A27:B27"/>
    <mergeCell ref="A28:B28"/>
    <mergeCell ref="A29:B29"/>
    <mergeCell ref="A30:B30"/>
    <mergeCell ref="A31:B31"/>
    <mergeCell ref="A34:B34"/>
    <mergeCell ref="A35:B35"/>
    <mergeCell ref="A36:B36"/>
    <mergeCell ref="A37:B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600C-40B5-4991-8449-1E79A2204D77}">
  <dimension ref="A1:K38"/>
  <sheetViews>
    <sheetView topLeftCell="A15" zoomScale="94" workbookViewId="0">
      <selection activeCell="H33" sqref="H33"/>
    </sheetView>
  </sheetViews>
  <sheetFormatPr defaultRowHeight="18"/>
  <cols>
    <col min="1" max="1" width="8.88671875" style="3"/>
    <col min="2" max="2" width="24.44140625" style="3" customWidth="1"/>
    <col min="3" max="3" width="14.5546875" style="3" customWidth="1"/>
    <col min="4" max="4" width="14.44140625" style="3" customWidth="1"/>
    <col min="5" max="5" width="15.21875" style="3" customWidth="1"/>
    <col min="6" max="6" width="18.33203125" style="3" customWidth="1"/>
    <col min="7" max="16384" width="8.88671875" style="3"/>
  </cols>
  <sheetData>
    <row r="1" spans="1:11" ht="21">
      <c r="A1" s="98" t="s">
        <v>77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3" spans="1:11">
      <c r="A3" s="99" t="s">
        <v>82</v>
      </c>
      <c r="B3" s="99"/>
      <c r="C3" s="99"/>
      <c r="D3" s="99"/>
      <c r="E3" s="99"/>
      <c r="F3" s="99"/>
      <c r="G3" s="99"/>
      <c r="H3" s="99"/>
      <c r="I3" s="99"/>
      <c r="J3" s="99"/>
      <c r="K3" s="99"/>
    </row>
    <row r="4" spans="1:11">
      <c r="A4" s="90" t="s">
        <v>37</v>
      </c>
      <c r="B4" s="90"/>
      <c r="C4" s="6" t="s">
        <v>41</v>
      </c>
      <c r="D4" s="6" t="s">
        <v>38</v>
      </c>
      <c r="E4" s="6" t="s">
        <v>39</v>
      </c>
      <c r="F4" s="6" t="s">
        <v>40</v>
      </c>
    </row>
    <row r="5" spans="1:11">
      <c r="A5" s="96" t="s">
        <v>78</v>
      </c>
      <c r="B5" s="96"/>
      <c r="C5" s="25">
        <v>0.26950000000000002</v>
      </c>
      <c r="D5" s="25">
        <v>0.25240000000000001</v>
      </c>
      <c r="E5" s="25">
        <v>0.25729999999999997</v>
      </c>
      <c r="F5" s="25">
        <v>0.25580000000000003</v>
      </c>
    </row>
    <row r="6" spans="1:11">
      <c r="A6" s="96" t="s">
        <v>79</v>
      </c>
      <c r="B6" s="96"/>
      <c r="C6" s="25">
        <v>0.20050000000000001</v>
      </c>
      <c r="D6" s="25">
        <v>0.18759999999999999</v>
      </c>
      <c r="E6" s="25">
        <v>0.1913</v>
      </c>
      <c r="F6" s="25">
        <v>0.19109999999999999</v>
      </c>
    </row>
    <row r="7" spans="1:11">
      <c r="A7" s="96" t="s">
        <v>80</v>
      </c>
      <c r="B7" s="96"/>
      <c r="C7" s="25">
        <v>0.28239999999999998</v>
      </c>
      <c r="D7" s="25">
        <v>0.29659999999999997</v>
      </c>
      <c r="E7" s="25">
        <v>0.31780000000000003</v>
      </c>
      <c r="F7" s="25">
        <v>0.31879999999999997</v>
      </c>
    </row>
    <row r="8" spans="1:11">
      <c r="A8" s="96" t="s">
        <v>81</v>
      </c>
      <c r="B8" s="96"/>
      <c r="C8" s="25">
        <v>0.43469999999999998</v>
      </c>
      <c r="D8" s="25">
        <v>0.46729999999999999</v>
      </c>
      <c r="E8" s="25">
        <v>0.50509999999999999</v>
      </c>
      <c r="F8" s="25">
        <v>0.52159999999999995</v>
      </c>
    </row>
    <row r="9" spans="1:11">
      <c r="A9" s="87"/>
      <c r="B9" s="87"/>
    </row>
    <row r="10" spans="1:11">
      <c r="A10" s="95" t="s">
        <v>83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</row>
    <row r="11" spans="1:11">
      <c r="A11" s="84" t="s">
        <v>37</v>
      </c>
      <c r="B11" s="69"/>
      <c r="C11" s="20" t="s">
        <v>41</v>
      </c>
      <c r="D11" s="23" t="s">
        <v>38</v>
      </c>
      <c r="E11" s="23" t="s">
        <v>39</v>
      </c>
      <c r="F11" s="20" t="s">
        <v>40</v>
      </c>
    </row>
    <row r="12" spans="1:11">
      <c r="A12" s="69" t="s">
        <v>84</v>
      </c>
      <c r="B12" s="69"/>
      <c r="C12" s="22">
        <v>2.5569999999999999</v>
      </c>
      <c r="D12" s="22">
        <v>2.5299999999999998</v>
      </c>
      <c r="E12" s="22">
        <v>2.4500000000000002</v>
      </c>
      <c r="F12" s="22">
        <v>2.3199999999999998</v>
      </c>
    </row>
    <row r="13" spans="1:11">
      <c r="A13" s="69" t="s">
        <v>85</v>
      </c>
      <c r="B13" s="69"/>
      <c r="C13" s="22">
        <v>0.29399999999999998</v>
      </c>
      <c r="D13" s="22">
        <v>0.16300000000000001</v>
      </c>
      <c r="E13" s="22">
        <v>0.19500000000000001</v>
      </c>
      <c r="F13" s="22">
        <v>0.157</v>
      </c>
    </row>
    <row r="14" spans="1:11">
      <c r="A14" s="69" t="s">
        <v>86</v>
      </c>
      <c r="B14" s="69"/>
      <c r="C14" s="22">
        <v>2.556</v>
      </c>
      <c r="D14" s="22">
        <v>2.5299999999999998</v>
      </c>
      <c r="E14" s="22">
        <v>2.4500000000000002</v>
      </c>
      <c r="F14" s="22">
        <v>2.3199999999999998</v>
      </c>
    </row>
    <row r="15" spans="1:11">
      <c r="A15" s="87"/>
      <c r="B15" s="87"/>
    </row>
    <row r="16" spans="1:11">
      <c r="A16" s="100" t="s">
        <v>87</v>
      </c>
      <c r="B16" s="101"/>
      <c r="C16" s="101"/>
      <c r="D16" s="101"/>
      <c r="E16" s="101"/>
      <c r="F16" s="101"/>
      <c r="G16" s="101"/>
      <c r="H16" s="101"/>
      <c r="I16" s="101"/>
      <c r="J16" s="101"/>
      <c r="K16" s="102"/>
    </row>
    <row r="17" spans="1:11">
      <c r="A17" s="84" t="s">
        <v>37</v>
      </c>
      <c r="B17" s="84"/>
      <c r="C17" s="20" t="s">
        <v>41</v>
      </c>
      <c r="D17" s="20" t="s">
        <v>38</v>
      </c>
      <c r="E17" s="20" t="s">
        <v>39</v>
      </c>
      <c r="F17" s="20" t="s">
        <v>40</v>
      </c>
    </row>
    <row r="18" spans="1:11">
      <c r="A18" s="69" t="s">
        <v>88</v>
      </c>
      <c r="B18" s="69"/>
      <c r="C18" s="22">
        <v>1.4</v>
      </c>
      <c r="D18" s="22">
        <v>1.5</v>
      </c>
      <c r="E18" s="22">
        <v>1.6</v>
      </c>
      <c r="F18" s="22">
        <v>1.6</v>
      </c>
    </row>
    <row r="19" spans="1:11">
      <c r="A19" s="69" t="s">
        <v>89</v>
      </c>
      <c r="B19" s="69"/>
      <c r="C19" s="22">
        <v>4.8</v>
      </c>
      <c r="D19" s="22">
        <v>10.6</v>
      </c>
      <c r="E19" s="22">
        <v>981.2</v>
      </c>
      <c r="F19" s="22">
        <v>1877.3</v>
      </c>
    </row>
    <row r="20" spans="1:11">
      <c r="A20" s="69" t="s">
        <v>90</v>
      </c>
      <c r="B20" s="69"/>
      <c r="C20" s="22">
        <v>2.9</v>
      </c>
      <c r="D20" s="22">
        <v>3.3</v>
      </c>
      <c r="E20" s="22">
        <v>3.6</v>
      </c>
      <c r="F20" s="22">
        <v>3.7</v>
      </c>
    </row>
    <row r="21" spans="1:11">
      <c r="A21" s="87"/>
      <c r="B21" s="87"/>
    </row>
    <row r="22" spans="1:11">
      <c r="A22" s="95" t="s">
        <v>91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</row>
    <row r="23" spans="1:11">
      <c r="A23" s="84" t="s">
        <v>59</v>
      </c>
      <c r="B23" s="69"/>
      <c r="C23" s="20" t="s">
        <v>41</v>
      </c>
      <c r="D23" s="20" t="s">
        <v>38</v>
      </c>
      <c r="E23" s="20" t="s">
        <v>39</v>
      </c>
      <c r="F23" s="20" t="s">
        <v>40</v>
      </c>
    </row>
    <row r="24" spans="1:11">
      <c r="A24" s="69" t="s">
        <v>92</v>
      </c>
      <c r="B24" s="69"/>
      <c r="C24" s="22">
        <v>0.09</v>
      </c>
      <c r="D24" s="22">
        <v>0.09</v>
      </c>
      <c r="E24" s="22">
        <v>0.09</v>
      </c>
      <c r="F24" s="22">
        <v>0.1</v>
      </c>
    </row>
    <row r="25" spans="1:11">
      <c r="A25" s="69" t="s">
        <v>93</v>
      </c>
      <c r="B25" s="69"/>
      <c r="C25" s="22">
        <v>0.05</v>
      </c>
      <c r="D25" s="22">
        <v>0.05</v>
      </c>
      <c r="E25" s="22">
        <v>0.05</v>
      </c>
      <c r="F25" s="22">
        <v>0.05</v>
      </c>
    </row>
    <row r="26" spans="1:11">
      <c r="A26" s="87"/>
      <c r="B26" s="87"/>
    </row>
    <row r="27" spans="1:11">
      <c r="A27" s="95" t="s">
        <v>94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</row>
    <row r="28" spans="1:11">
      <c r="A28" s="84" t="s">
        <v>37</v>
      </c>
      <c r="B28" s="84"/>
      <c r="C28" s="20" t="s">
        <v>41</v>
      </c>
      <c r="D28" s="20" t="s">
        <v>38</v>
      </c>
      <c r="E28" s="20" t="s">
        <v>39</v>
      </c>
      <c r="F28" s="20" t="s">
        <v>40</v>
      </c>
    </row>
    <row r="29" spans="1:11">
      <c r="A29" s="69" t="s">
        <v>95</v>
      </c>
      <c r="B29" s="69"/>
      <c r="C29" s="26">
        <v>103.949</v>
      </c>
      <c r="D29" s="26">
        <v>115.61</v>
      </c>
      <c r="E29" s="26">
        <v>126.4</v>
      </c>
      <c r="F29" s="26">
        <v>134.86000000000001</v>
      </c>
    </row>
    <row r="30" spans="1:11">
      <c r="A30" s="69" t="s">
        <v>96</v>
      </c>
      <c r="B30" s="69"/>
      <c r="C30" s="22">
        <v>35.9</v>
      </c>
      <c r="D30" s="28" t="s">
        <v>97</v>
      </c>
      <c r="E30" s="22">
        <v>30.45</v>
      </c>
      <c r="F30" s="22">
        <v>27.07</v>
      </c>
    </row>
    <row r="31" spans="1:11">
      <c r="A31" s="87"/>
      <c r="B31" s="87"/>
    </row>
    <row r="32" spans="1:11">
      <c r="A32" s="56"/>
      <c r="B32" s="56"/>
    </row>
    <row r="33" spans="1:2">
      <c r="A33" s="56"/>
      <c r="B33" s="56"/>
    </row>
    <row r="34" spans="1:2">
      <c r="A34" s="56"/>
      <c r="B34" s="56"/>
    </row>
    <row r="35" spans="1:2">
      <c r="A35" s="56"/>
      <c r="B35" s="56"/>
    </row>
    <row r="36" spans="1:2">
      <c r="A36" s="56"/>
      <c r="B36" s="56"/>
    </row>
    <row r="37" spans="1:2">
      <c r="A37" s="56"/>
      <c r="B37" s="56"/>
    </row>
    <row r="38" spans="1:2">
      <c r="A38" s="56"/>
      <c r="B38" s="56"/>
    </row>
  </sheetData>
  <mergeCells count="37">
    <mergeCell ref="A35:B35"/>
    <mergeCell ref="A36:B36"/>
    <mergeCell ref="A37:B37"/>
    <mergeCell ref="A38:B38"/>
    <mergeCell ref="A30:B30"/>
    <mergeCell ref="A31:B31"/>
    <mergeCell ref="A32:B32"/>
    <mergeCell ref="A33:B33"/>
    <mergeCell ref="A34:B34"/>
    <mergeCell ref="A28:B28"/>
    <mergeCell ref="A29:B29"/>
    <mergeCell ref="A27:K27"/>
    <mergeCell ref="A16:K16"/>
    <mergeCell ref="A22:K22"/>
    <mergeCell ref="A17:B17"/>
    <mergeCell ref="A18:B18"/>
    <mergeCell ref="A19:B19"/>
    <mergeCell ref="A20:B20"/>
    <mergeCell ref="A21:B21"/>
    <mergeCell ref="A23:B23"/>
    <mergeCell ref="A24:B24"/>
    <mergeCell ref="A25:B25"/>
    <mergeCell ref="A26:B26"/>
    <mergeCell ref="A1:K1"/>
    <mergeCell ref="A3:K3"/>
    <mergeCell ref="A4:B4"/>
    <mergeCell ref="A5:B5"/>
    <mergeCell ref="A6:B6"/>
    <mergeCell ref="A12:B12"/>
    <mergeCell ref="A13:B13"/>
    <mergeCell ref="A14:B14"/>
    <mergeCell ref="A15:B15"/>
    <mergeCell ref="A7:B7"/>
    <mergeCell ref="A8:B8"/>
    <mergeCell ref="A9:B9"/>
    <mergeCell ref="A10:K10"/>
    <mergeCell ref="A11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750B-ED6F-4D4A-81CC-297A0253A268}">
  <dimension ref="A1:N38"/>
  <sheetViews>
    <sheetView workbookViewId="0">
      <selection activeCell="C3" sqref="C3"/>
    </sheetView>
  </sheetViews>
  <sheetFormatPr defaultRowHeight="14.4"/>
  <cols>
    <col min="2" max="2" width="33.44140625" customWidth="1"/>
    <col min="3" max="4" width="18.33203125" customWidth="1"/>
    <col min="5" max="5" width="16" customWidth="1"/>
    <col min="6" max="6" width="16.77734375" customWidth="1"/>
    <col min="7" max="7" width="21.5546875" customWidth="1"/>
    <col min="8" max="8" width="21.33203125" customWidth="1"/>
    <col min="9" max="9" width="20.88671875" customWidth="1"/>
    <col min="10" max="10" width="25.109375" customWidth="1"/>
  </cols>
  <sheetData>
    <row r="1" spans="1:13">
      <c r="A1" s="61" t="s">
        <v>98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</row>
    <row r="2" spans="1:13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</row>
    <row r="3" spans="1:13" ht="18">
      <c r="A3" s="84" t="s">
        <v>59</v>
      </c>
      <c r="B3" s="84"/>
      <c r="C3" s="20" t="s">
        <v>41</v>
      </c>
      <c r="D3" s="20" t="s">
        <v>38</v>
      </c>
      <c r="E3" s="20" t="s">
        <v>39</v>
      </c>
      <c r="F3" s="20" t="s">
        <v>40</v>
      </c>
      <c r="G3" s="20" t="s">
        <v>99</v>
      </c>
      <c r="H3" s="20" t="s">
        <v>100</v>
      </c>
      <c r="I3" s="20" t="s">
        <v>101</v>
      </c>
      <c r="J3" s="20" t="s">
        <v>102</v>
      </c>
      <c r="K3" s="4"/>
      <c r="L3" s="4"/>
      <c r="M3" s="4"/>
    </row>
    <row r="4" spans="1:13" ht="18">
      <c r="A4" s="68" t="s">
        <v>103</v>
      </c>
      <c r="B4" s="68"/>
      <c r="C4" s="21">
        <v>191754</v>
      </c>
      <c r="D4" s="21">
        <v>225458</v>
      </c>
      <c r="E4" s="21">
        <v>240893</v>
      </c>
      <c r="F4" s="21">
        <v>255324</v>
      </c>
      <c r="G4" s="38">
        <v>0.17580000000000001</v>
      </c>
      <c r="H4" s="38">
        <v>6.8500000000000005E-2</v>
      </c>
      <c r="I4" s="38">
        <v>5.5899999999999998E-2</v>
      </c>
      <c r="J4" s="22" t="s">
        <v>115</v>
      </c>
      <c r="K4" s="32"/>
      <c r="L4" s="3"/>
      <c r="M4" s="3"/>
    </row>
    <row r="5" spans="1:13" ht="18">
      <c r="A5" s="68" t="s">
        <v>104</v>
      </c>
      <c r="B5" s="68"/>
      <c r="C5" s="39">
        <v>195772</v>
      </c>
      <c r="D5" s="39">
        <v>228907</v>
      </c>
      <c r="E5" s="39">
        <v>245315</v>
      </c>
      <c r="F5" s="39">
        <v>259286</v>
      </c>
      <c r="G5" s="37">
        <v>0.16919999999999999</v>
      </c>
      <c r="H5" s="37">
        <v>7.17E-2</v>
      </c>
      <c r="I5" s="37">
        <v>5.6899999999999999E-2</v>
      </c>
      <c r="J5" s="22" t="s">
        <v>115</v>
      </c>
      <c r="K5" s="32"/>
      <c r="L5" s="3"/>
      <c r="M5" s="3"/>
    </row>
    <row r="6" spans="1:13" ht="18">
      <c r="A6" s="68" t="s">
        <v>105</v>
      </c>
      <c r="B6" s="68"/>
      <c r="C6" s="21">
        <v>51687</v>
      </c>
      <c r="D6" s="21">
        <v>56907</v>
      </c>
      <c r="E6" s="21">
        <v>61997</v>
      </c>
      <c r="F6" s="21">
        <v>65331</v>
      </c>
      <c r="G6" s="37">
        <v>0.10100000000000001</v>
      </c>
      <c r="H6" s="37">
        <v>8.9399999999999993E-2</v>
      </c>
      <c r="I6" s="37">
        <v>5.3800000000000001E-2</v>
      </c>
      <c r="J6" s="27" t="s">
        <v>116</v>
      </c>
      <c r="K6" s="32"/>
      <c r="L6" s="3"/>
      <c r="M6" s="3"/>
    </row>
    <row r="7" spans="1:13" ht="18">
      <c r="A7" s="68" t="s">
        <v>106</v>
      </c>
      <c r="B7" s="68"/>
      <c r="C7" s="39">
        <v>38449</v>
      </c>
      <c r="D7" s="39">
        <v>42303</v>
      </c>
      <c r="E7" s="39">
        <v>46099</v>
      </c>
      <c r="F7" s="39">
        <v>48797</v>
      </c>
      <c r="G7" s="37">
        <v>0.1002</v>
      </c>
      <c r="H7" s="37">
        <v>8.9700000000000002E-2</v>
      </c>
      <c r="I7" s="37">
        <v>5.8500000000000003E-2</v>
      </c>
      <c r="J7" s="27" t="s">
        <v>116</v>
      </c>
      <c r="K7" s="32"/>
      <c r="L7" s="3"/>
      <c r="M7" s="3"/>
    </row>
    <row r="8" spans="1:13" ht="18">
      <c r="A8" s="68" t="s">
        <v>107</v>
      </c>
      <c r="B8" s="68"/>
      <c r="C8" s="30">
        <f>SUM(C6:C7)</f>
        <v>90136</v>
      </c>
      <c r="D8" s="30">
        <f>SUM(D6:D7)</f>
        <v>99210</v>
      </c>
      <c r="E8" s="30">
        <f>SUM(E6:E7)</f>
        <v>108096</v>
      </c>
      <c r="F8" s="30">
        <f>SUM(F6:F7)</f>
        <v>114128</v>
      </c>
      <c r="G8" s="37">
        <v>0.1007</v>
      </c>
      <c r="H8" s="37">
        <v>8.9599999999999999E-2</v>
      </c>
      <c r="I8" s="37">
        <v>5.5800000000000002E-2</v>
      </c>
      <c r="J8" s="27" t="s">
        <v>116</v>
      </c>
      <c r="K8" s="32"/>
      <c r="L8" s="3"/>
      <c r="M8" s="3"/>
    </row>
    <row r="9" spans="1:13" ht="18">
      <c r="A9" s="68" t="s">
        <v>108</v>
      </c>
      <c r="B9" s="68"/>
      <c r="C9" s="30">
        <f>SUM(C6:C8)</f>
        <v>180272</v>
      </c>
      <c r="D9" s="30">
        <f>SUM(D6:D8)</f>
        <v>198420</v>
      </c>
      <c r="E9" s="30">
        <f>SUM(E6:E8)</f>
        <v>216192</v>
      </c>
      <c r="F9" s="30">
        <f>SUM(F6:F8)</f>
        <v>228256</v>
      </c>
      <c r="G9" s="37">
        <v>0.1007</v>
      </c>
      <c r="H9" s="37">
        <v>8.9599999999999999E-2</v>
      </c>
      <c r="I9" s="37">
        <v>5.5800000000000002E-2</v>
      </c>
      <c r="J9" s="27" t="s">
        <v>116</v>
      </c>
      <c r="K9" s="32"/>
      <c r="L9" s="3"/>
      <c r="M9" s="3"/>
    </row>
    <row r="10" spans="1:13" ht="18">
      <c r="A10" s="68" t="s">
        <v>109</v>
      </c>
      <c r="B10" s="68"/>
      <c r="C10" s="21">
        <v>39949</v>
      </c>
      <c r="D10" s="21">
        <v>41965</v>
      </c>
      <c r="E10" s="21">
        <v>44338</v>
      </c>
      <c r="F10" s="21">
        <v>48908</v>
      </c>
      <c r="G10" s="37">
        <v>5.0500000000000003E-2</v>
      </c>
      <c r="H10" s="37">
        <v>5.6500000000000002E-2</v>
      </c>
      <c r="I10" s="37">
        <v>0.1031</v>
      </c>
      <c r="J10" s="22" t="s">
        <v>117</v>
      </c>
      <c r="K10" s="32"/>
      <c r="L10" s="3"/>
      <c r="M10" s="3"/>
    </row>
    <row r="11" spans="1:13" ht="18">
      <c r="A11" s="68" t="s">
        <v>110</v>
      </c>
      <c r="B11" s="68"/>
      <c r="C11" s="21">
        <f>SUM(C8:C10)</f>
        <v>310357</v>
      </c>
      <c r="D11" s="21">
        <f>SUM(D8:D10)</f>
        <v>339595</v>
      </c>
      <c r="E11" s="21">
        <f>SUM(E8:E10)</f>
        <v>368626</v>
      </c>
      <c r="F11" s="21">
        <f>SUM(F8:F10)</f>
        <v>391292</v>
      </c>
      <c r="G11" s="37">
        <v>9.4200000000000006E-2</v>
      </c>
      <c r="H11" s="37">
        <v>8.5500000000000007E-2</v>
      </c>
      <c r="I11" s="37">
        <v>6.1499999999999999E-2</v>
      </c>
      <c r="J11" s="22" t="s">
        <v>117</v>
      </c>
      <c r="K11" s="32"/>
      <c r="L11" s="3"/>
      <c r="M11" s="3"/>
    </row>
    <row r="12" spans="1:13" ht="18">
      <c r="A12" s="68" t="s">
        <v>111</v>
      </c>
      <c r="B12" s="68"/>
      <c r="C12" s="21">
        <v>12488</v>
      </c>
      <c r="D12" s="21">
        <v>7123</v>
      </c>
      <c r="E12" s="21">
        <v>9016</v>
      </c>
      <c r="F12" s="21">
        <v>8342</v>
      </c>
      <c r="G12" s="37">
        <v>-0.42959999999999998</v>
      </c>
      <c r="H12" s="37">
        <v>0.26579999999999998</v>
      </c>
      <c r="I12" s="37">
        <v>-7.4800000000000005E-2</v>
      </c>
      <c r="J12" s="27" t="s">
        <v>118</v>
      </c>
      <c r="K12" s="32"/>
      <c r="L12" s="3"/>
      <c r="M12" s="3"/>
    </row>
    <row r="13" spans="1:13" ht="18">
      <c r="A13" s="68" t="s">
        <v>112</v>
      </c>
      <c r="B13" s="68"/>
      <c r="C13" s="40">
        <v>103.949</v>
      </c>
      <c r="D13" s="40">
        <v>115.61</v>
      </c>
      <c r="E13" s="40">
        <v>126.4</v>
      </c>
      <c r="F13" s="40">
        <v>134.86000000000001</v>
      </c>
      <c r="G13" s="37">
        <v>0.11219999999999999</v>
      </c>
      <c r="H13" s="37">
        <v>9.3299999999999994E-2</v>
      </c>
      <c r="I13" s="37">
        <v>6.6900000000000001E-2</v>
      </c>
      <c r="J13" s="22" t="s">
        <v>115</v>
      </c>
      <c r="K13" s="32"/>
      <c r="L13" s="3"/>
      <c r="M13" s="3"/>
    </row>
    <row r="14" spans="1:13" ht="18">
      <c r="A14" s="56"/>
      <c r="B14" s="56"/>
      <c r="C14" s="3"/>
      <c r="D14" s="3"/>
      <c r="E14" s="3"/>
      <c r="F14" s="3"/>
      <c r="G14" s="31"/>
      <c r="H14" s="32"/>
      <c r="I14" s="32"/>
      <c r="J14" s="32"/>
      <c r="K14" s="32"/>
      <c r="L14" s="3"/>
      <c r="M14" s="3"/>
    </row>
    <row r="15" spans="1:13" ht="18">
      <c r="A15" s="56"/>
      <c r="B15" s="5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">
      <c r="A16" s="56"/>
      <c r="B16" s="5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4" ht="18">
      <c r="A17" s="56"/>
      <c r="B17" s="5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4" ht="18">
      <c r="A18" s="56"/>
      <c r="B18" s="5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4" ht="18">
      <c r="A19" s="56"/>
      <c r="B19" s="5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4" ht="18">
      <c r="A20" s="56"/>
      <c r="B20" s="5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4" ht="18">
      <c r="A21" s="56"/>
      <c r="B21" s="5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4" ht="18">
      <c r="A22" s="56"/>
      <c r="B22" s="5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4">
      <c r="A23" s="57"/>
      <c r="B23" s="57"/>
    </row>
    <row r="24" spans="1:14">
      <c r="A24" s="57"/>
      <c r="B24" s="57"/>
    </row>
    <row r="25" spans="1:14">
      <c r="A25" s="57"/>
      <c r="B25" s="57"/>
    </row>
    <row r="31" spans="1:14">
      <c r="G31" s="34">
        <v>0.10100000000000001</v>
      </c>
      <c r="H31" s="34">
        <v>8.9399999999999993E-2</v>
      </c>
      <c r="I31" s="34">
        <v>5.3800000000000001E-2</v>
      </c>
    </row>
    <row r="32" spans="1:14">
      <c r="G32" s="35" t="s">
        <v>106</v>
      </c>
      <c r="H32" s="36">
        <v>38449</v>
      </c>
      <c r="I32" s="36">
        <v>42303</v>
      </c>
      <c r="J32" s="36">
        <v>46099</v>
      </c>
      <c r="K32" s="36">
        <v>48797</v>
      </c>
      <c r="L32" s="34">
        <v>0.1002</v>
      </c>
      <c r="M32" s="34">
        <v>8.9700000000000002E-2</v>
      </c>
      <c r="N32" s="34">
        <v>5.8500000000000003E-2</v>
      </c>
    </row>
    <row r="33" spans="7:14">
      <c r="G33" s="35" t="s">
        <v>107</v>
      </c>
      <c r="H33" s="36">
        <v>90136</v>
      </c>
      <c r="I33" s="36">
        <v>99210</v>
      </c>
      <c r="J33" s="36">
        <v>108096</v>
      </c>
      <c r="K33" s="36">
        <v>114128</v>
      </c>
      <c r="L33" s="34">
        <v>0.1007</v>
      </c>
      <c r="M33" s="34">
        <v>8.9599999999999999E-2</v>
      </c>
      <c r="N33" s="34">
        <v>5.5800000000000002E-2</v>
      </c>
    </row>
    <row r="34" spans="7:14">
      <c r="G34" s="35" t="s">
        <v>113</v>
      </c>
      <c r="H34" s="36">
        <v>180272</v>
      </c>
      <c r="I34" s="36">
        <v>198420</v>
      </c>
      <c r="J34" s="36">
        <v>216192</v>
      </c>
      <c r="K34" s="36">
        <v>228256</v>
      </c>
      <c r="L34" s="34">
        <v>0.1007</v>
      </c>
      <c r="M34" s="34">
        <v>8.9599999999999999E-2</v>
      </c>
      <c r="N34" s="34">
        <v>5.5800000000000002E-2</v>
      </c>
    </row>
    <row r="35" spans="7:14">
      <c r="G35" s="35" t="s">
        <v>109</v>
      </c>
      <c r="H35" s="36">
        <v>39949</v>
      </c>
      <c r="I35" s="36">
        <v>41965</v>
      </c>
      <c r="J35" s="36">
        <v>44338</v>
      </c>
      <c r="K35" s="36">
        <v>48908</v>
      </c>
      <c r="L35" s="34">
        <v>5.0500000000000003E-2</v>
      </c>
      <c r="M35" s="34">
        <v>5.6500000000000002E-2</v>
      </c>
      <c r="N35" s="34">
        <v>0.1031</v>
      </c>
    </row>
    <row r="36" spans="7:14" ht="28.8">
      <c r="G36" s="35" t="s">
        <v>114</v>
      </c>
      <c r="H36" s="36">
        <v>310357</v>
      </c>
      <c r="I36" s="36">
        <v>339595</v>
      </c>
      <c r="J36" s="36">
        <v>368626</v>
      </c>
      <c r="K36" s="36">
        <v>391292</v>
      </c>
      <c r="L36" s="34">
        <v>9.4200000000000006E-2</v>
      </c>
      <c r="M36" s="34">
        <v>8.5500000000000007E-2</v>
      </c>
      <c r="N36" s="34">
        <v>6.1499999999999999E-2</v>
      </c>
    </row>
    <row r="37" spans="7:14" ht="28.8">
      <c r="G37" s="35" t="s">
        <v>111</v>
      </c>
      <c r="H37" s="36">
        <v>12488</v>
      </c>
      <c r="I37" s="36">
        <v>7123</v>
      </c>
      <c r="J37" s="36">
        <v>9016</v>
      </c>
      <c r="K37" s="36">
        <v>8342</v>
      </c>
      <c r="L37" s="34">
        <v>-0.42959999999999998</v>
      </c>
      <c r="M37" s="34">
        <v>0.26579999999999998</v>
      </c>
      <c r="N37" s="34">
        <v>-7.4800000000000005E-2</v>
      </c>
    </row>
    <row r="38" spans="7:14">
      <c r="G38" s="35" t="s">
        <v>112</v>
      </c>
      <c r="H38" s="35">
        <v>103.95</v>
      </c>
      <c r="I38" s="35">
        <v>115.61</v>
      </c>
      <c r="J38" s="35">
        <v>126.4</v>
      </c>
      <c r="K38" s="35">
        <v>134.86000000000001</v>
      </c>
      <c r="L38" s="34">
        <v>0.11219999999999999</v>
      </c>
      <c r="M38" s="34">
        <v>9.3299999999999994E-2</v>
      </c>
      <c r="N38" s="34">
        <v>6.6900000000000001E-2</v>
      </c>
    </row>
  </sheetData>
  <mergeCells count="24"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1:M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CA955-5397-4E6E-AED8-2498259F62C2}">
  <dimension ref="A1:G5"/>
  <sheetViews>
    <sheetView workbookViewId="0">
      <selection activeCell="J9" sqref="J9"/>
    </sheetView>
  </sheetViews>
  <sheetFormatPr defaultRowHeight="14.4"/>
  <cols>
    <col min="2" max="2" width="10.21875" customWidth="1"/>
    <col min="4" max="4" width="12.77734375" customWidth="1"/>
    <col min="7" max="7" width="14" customWidth="1"/>
  </cols>
  <sheetData>
    <row r="1" spans="1:7">
      <c r="A1" s="43" t="s">
        <v>131</v>
      </c>
      <c r="B1" s="44" t="s">
        <v>119</v>
      </c>
      <c r="C1" s="44" t="s">
        <v>120</v>
      </c>
      <c r="D1" s="44" t="s">
        <v>107</v>
      </c>
      <c r="E1" s="44" t="s">
        <v>121</v>
      </c>
      <c r="F1" s="44" t="s">
        <v>122</v>
      </c>
      <c r="G1" s="45" t="s">
        <v>84</v>
      </c>
    </row>
    <row r="2" spans="1:7">
      <c r="A2" s="46" t="s">
        <v>41</v>
      </c>
      <c r="B2" s="47">
        <v>191754</v>
      </c>
      <c r="C2" s="47">
        <v>38112</v>
      </c>
      <c r="D2" s="47">
        <v>89438</v>
      </c>
      <c r="E2" s="48">
        <v>0.46800000000000003</v>
      </c>
      <c r="F2" s="48">
        <v>0.36199999999999999</v>
      </c>
      <c r="G2" s="49">
        <v>3.45</v>
      </c>
    </row>
    <row r="3" spans="1:7">
      <c r="A3" s="46" t="s">
        <v>38</v>
      </c>
      <c r="B3" s="47">
        <v>225458</v>
      </c>
      <c r="C3" s="47">
        <v>42147</v>
      </c>
      <c r="D3" s="47">
        <v>99011</v>
      </c>
      <c r="E3" s="48">
        <v>0.496</v>
      </c>
      <c r="F3" s="48">
        <v>0.39800000000000002</v>
      </c>
      <c r="G3" s="49">
        <v>3.62</v>
      </c>
    </row>
    <row r="4" spans="1:7">
      <c r="A4" s="46" t="s">
        <v>39</v>
      </c>
      <c r="B4" s="47">
        <v>240893</v>
      </c>
      <c r="C4" s="47">
        <v>46312</v>
      </c>
      <c r="D4" s="47">
        <v>108741</v>
      </c>
      <c r="E4" s="48">
        <v>0.54200000000000004</v>
      </c>
      <c r="F4" s="48">
        <v>0.41599999999999998</v>
      </c>
      <c r="G4" s="49">
        <v>3.81</v>
      </c>
    </row>
    <row r="5" spans="1:7">
      <c r="A5" s="50" t="s">
        <v>40</v>
      </c>
      <c r="B5" s="51">
        <v>255324</v>
      </c>
      <c r="C5" s="51">
        <v>48797</v>
      </c>
      <c r="D5" s="51">
        <v>114128</v>
      </c>
      <c r="E5" s="52">
        <v>0.58299999999999996</v>
      </c>
      <c r="F5" s="52">
        <v>0.42699999999999999</v>
      </c>
      <c r="G5" s="53">
        <v>3.95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6FF4-F15E-4D33-904B-C97D716150CA}">
  <dimension ref="A1:L37"/>
  <sheetViews>
    <sheetView topLeftCell="A24" workbookViewId="0">
      <selection activeCell="K28" sqref="K28"/>
    </sheetView>
  </sheetViews>
  <sheetFormatPr defaultRowHeight="14.4"/>
  <cols>
    <col min="1" max="1" width="12.5546875" bestFit="1" customWidth="1"/>
    <col min="2" max="2" width="11.109375" bestFit="1" customWidth="1"/>
    <col min="11" max="11" width="12.5546875" bestFit="1" customWidth="1"/>
    <col min="12" max="12" width="18.77734375" bestFit="1" customWidth="1"/>
  </cols>
  <sheetData>
    <row r="1" spans="1:12">
      <c r="A1" s="41" t="s">
        <v>123</v>
      </c>
      <c r="B1" t="s">
        <v>125</v>
      </c>
      <c r="K1" s="41" t="s">
        <v>123</v>
      </c>
      <c r="L1" t="s">
        <v>126</v>
      </c>
    </row>
    <row r="2" spans="1:12">
      <c r="A2" s="42" t="s">
        <v>41</v>
      </c>
      <c r="B2">
        <v>191754</v>
      </c>
      <c r="K2" s="42" t="s">
        <v>41</v>
      </c>
      <c r="L2">
        <v>38112</v>
      </c>
    </row>
    <row r="3" spans="1:12">
      <c r="A3" s="42" t="s">
        <v>38</v>
      </c>
      <c r="B3">
        <v>225458</v>
      </c>
      <c r="K3" s="42" t="s">
        <v>38</v>
      </c>
      <c r="L3">
        <v>42147</v>
      </c>
    </row>
    <row r="4" spans="1:12">
      <c r="A4" s="42" t="s">
        <v>39</v>
      </c>
      <c r="B4">
        <v>240893</v>
      </c>
      <c r="K4" s="42" t="s">
        <v>39</v>
      </c>
      <c r="L4">
        <v>46312</v>
      </c>
    </row>
    <row r="5" spans="1:12">
      <c r="A5" s="42" t="s">
        <v>40</v>
      </c>
      <c r="B5">
        <v>255324</v>
      </c>
      <c r="K5" s="42" t="s">
        <v>40</v>
      </c>
      <c r="L5">
        <v>48797</v>
      </c>
    </row>
    <row r="6" spans="1:12">
      <c r="A6" s="42" t="s">
        <v>124</v>
      </c>
      <c r="B6">
        <v>913429</v>
      </c>
      <c r="K6" s="42" t="s">
        <v>124</v>
      </c>
      <c r="L6">
        <v>175368</v>
      </c>
    </row>
    <row r="17" spans="1:12">
      <c r="A17" s="41" t="s">
        <v>123</v>
      </c>
      <c r="B17" t="s">
        <v>127</v>
      </c>
      <c r="K17" s="41" t="s">
        <v>123</v>
      </c>
      <c r="L17" t="s">
        <v>128</v>
      </c>
    </row>
    <row r="18" spans="1:12">
      <c r="A18" s="42" t="s">
        <v>41</v>
      </c>
      <c r="B18">
        <v>89438</v>
      </c>
      <c r="K18" s="42" t="s">
        <v>41</v>
      </c>
      <c r="L18" s="33">
        <v>0.46800000000000003</v>
      </c>
    </row>
    <row r="19" spans="1:12">
      <c r="A19" s="42" t="s">
        <v>38</v>
      </c>
      <c r="B19">
        <v>99011</v>
      </c>
      <c r="K19" s="42" t="s">
        <v>38</v>
      </c>
      <c r="L19" s="33">
        <v>0.496</v>
      </c>
    </row>
    <row r="20" spans="1:12">
      <c r="A20" s="42" t="s">
        <v>39</v>
      </c>
      <c r="B20">
        <v>108741</v>
      </c>
      <c r="K20" s="42" t="s">
        <v>39</v>
      </c>
      <c r="L20" s="33">
        <v>0.54200000000000004</v>
      </c>
    </row>
    <row r="21" spans="1:12">
      <c r="A21" s="42" t="s">
        <v>40</v>
      </c>
      <c r="B21">
        <v>114128</v>
      </c>
      <c r="K21" s="42" t="s">
        <v>40</v>
      </c>
      <c r="L21" s="33">
        <v>0.58299999999999996</v>
      </c>
    </row>
    <row r="22" spans="1:12">
      <c r="A22" s="42" t="s">
        <v>124</v>
      </c>
      <c r="B22">
        <v>411318</v>
      </c>
      <c r="K22" s="42" t="s">
        <v>124</v>
      </c>
      <c r="L22" s="33">
        <v>2.089</v>
      </c>
    </row>
    <row r="31" spans="1:12">
      <c r="A31" s="41" t="s">
        <v>123</v>
      </c>
      <c r="B31" t="s">
        <v>129</v>
      </c>
    </row>
    <row r="32" spans="1:12">
      <c r="A32" s="42" t="s">
        <v>41</v>
      </c>
      <c r="B32" s="33">
        <v>0.36199999999999999</v>
      </c>
      <c r="K32" s="41" t="s">
        <v>123</v>
      </c>
      <c r="L32" t="s">
        <v>130</v>
      </c>
    </row>
    <row r="33" spans="1:12">
      <c r="A33" s="42" t="s">
        <v>38</v>
      </c>
      <c r="B33" s="33">
        <v>0.39800000000000002</v>
      </c>
      <c r="K33" s="42" t="s">
        <v>41</v>
      </c>
      <c r="L33">
        <v>3.45</v>
      </c>
    </row>
    <row r="34" spans="1:12">
      <c r="A34" s="42" t="s">
        <v>39</v>
      </c>
      <c r="B34" s="33">
        <v>0.41599999999999998</v>
      </c>
      <c r="K34" s="42" t="s">
        <v>38</v>
      </c>
      <c r="L34">
        <v>3.62</v>
      </c>
    </row>
    <row r="35" spans="1:12">
      <c r="A35" s="42" t="s">
        <v>40</v>
      </c>
      <c r="B35" s="33">
        <v>0.42699999999999999</v>
      </c>
      <c r="K35" s="42" t="s">
        <v>39</v>
      </c>
      <c r="L35">
        <v>3.81</v>
      </c>
    </row>
    <row r="36" spans="1:12">
      <c r="A36" s="42" t="s">
        <v>124</v>
      </c>
      <c r="B36" s="33">
        <v>1.603</v>
      </c>
      <c r="K36" s="42" t="s">
        <v>40</v>
      </c>
      <c r="L36">
        <v>3.95</v>
      </c>
    </row>
    <row r="37" spans="1:12">
      <c r="K37" s="42" t="s">
        <v>124</v>
      </c>
      <c r="L37">
        <v>14.830000000000002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C529-40E2-4332-9BE0-D24A0DEFB71E}">
  <dimension ref="A1:W3"/>
  <sheetViews>
    <sheetView tabSelected="1" zoomScale="70" zoomScaleNormal="90" workbookViewId="0">
      <selection sqref="A1:W3"/>
    </sheetView>
  </sheetViews>
  <sheetFormatPr defaultRowHeight="14.4"/>
  <cols>
    <col min="23" max="23" width="56.33203125" customWidth="1"/>
  </cols>
  <sheetData>
    <row r="1" spans="1:23">
      <c r="A1" s="104" t="s">
        <v>132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</row>
    <row r="2" spans="1:23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</row>
    <row r="3" spans="1:23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</row>
  </sheetData>
  <mergeCells count="1">
    <mergeCell ref="A1:W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78B2-0197-40E9-9A89-AD4AEB599129}">
  <dimension ref="A1:W37"/>
  <sheetViews>
    <sheetView zoomScaleNormal="100" workbookViewId="0">
      <selection sqref="A1:W3"/>
    </sheetView>
  </sheetViews>
  <sheetFormatPr defaultRowHeight="14.4"/>
  <cols>
    <col min="11" max="11" width="78.77734375" customWidth="1"/>
  </cols>
  <sheetData>
    <row r="1" spans="1:23">
      <c r="A1" s="61" t="s">
        <v>161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</row>
    <row r="2" spans="1:23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</row>
    <row r="3" spans="1:23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</row>
    <row r="4" spans="1:23" ht="18">
      <c r="A4" s="58" t="s">
        <v>136</v>
      </c>
      <c r="B4" s="58"/>
      <c r="C4" s="58"/>
      <c r="D4" s="58"/>
      <c r="E4" s="58"/>
      <c r="F4" s="58"/>
      <c r="G4" s="58"/>
      <c r="H4" s="58"/>
      <c r="I4" s="58"/>
      <c r="J4" s="58"/>
      <c r="K4" s="58"/>
    </row>
    <row r="5" spans="1:23" ht="18">
      <c r="A5" s="58" t="s">
        <v>134</v>
      </c>
      <c r="B5" s="58"/>
      <c r="C5" s="58"/>
      <c r="D5" s="58"/>
      <c r="E5" s="58"/>
      <c r="F5" s="58"/>
      <c r="G5" s="58"/>
      <c r="H5" s="58"/>
      <c r="I5" s="58"/>
      <c r="J5" s="58"/>
      <c r="K5" s="58"/>
    </row>
    <row r="6" spans="1:23" ht="22.8" customHeight="1">
      <c r="A6" s="58" t="s">
        <v>135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</row>
    <row r="7" spans="1:23" ht="18">
      <c r="A7" s="58" t="s">
        <v>133</v>
      </c>
      <c r="B7" s="58"/>
      <c r="C7" s="58"/>
      <c r="D7" s="58"/>
      <c r="E7" s="58"/>
      <c r="F7" s="58"/>
      <c r="G7" s="58"/>
      <c r="H7" s="58"/>
      <c r="I7" s="58"/>
      <c r="J7" s="58"/>
      <c r="K7" s="58"/>
    </row>
    <row r="8" spans="1:23" ht="18">
      <c r="A8" s="60" t="s">
        <v>137</v>
      </c>
      <c r="B8" s="60"/>
      <c r="C8" s="60"/>
      <c r="D8" s="60"/>
      <c r="E8" s="60"/>
      <c r="F8" s="60"/>
      <c r="G8" s="60"/>
      <c r="H8" s="60"/>
      <c r="I8" s="60"/>
      <c r="J8" s="60"/>
      <c r="K8" s="60"/>
    </row>
    <row r="9" spans="1:23" ht="18">
      <c r="A9" s="58" t="s">
        <v>138</v>
      </c>
      <c r="B9" s="58"/>
      <c r="C9" s="58"/>
      <c r="D9" s="58"/>
      <c r="E9" s="58"/>
      <c r="F9" s="58"/>
      <c r="G9" s="58"/>
      <c r="H9" s="58"/>
      <c r="I9" s="58"/>
      <c r="J9" s="58"/>
      <c r="K9" s="58"/>
    </row>
    <row r="10" spans="1:23" ht="18">
      <c r="A10" s="58" t="s">
        <v>139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</row>
    <row r="11" spans="1:23" ht="18">
      <c r="A11" s="58" t="s">
        <v>140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</row>
    <row r="12" spans="1:23" ht="18">
      <c r="A12" s="60" t="s">
        <v>141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</row>
    <row r="13" spans="1:23" ht="18">
      <c r="A13" s="58" t="s">
        <v>142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</row>
    <row r="14" spans="1:23" ht="18">
      <c r="A14" s="58" t="s">
        <v>143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</row>
    <row r="15" spans="1:23" ht="18">
      <c r="A15" s="58" t="s">
        <v>144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spans="1:23" ht="18">
      <c r="A16" s="60" t="s">
        <v>145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</row>
    <row r="17" spans="1:19" ht="18">
      <c r="A17" s="58" t="s">
        <v>146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</row>
    <row r="18" spans="1:19" ht="18">
      <c r="A18" s="58" t="s">
        <v>147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</row>
    <row r="19" spans="1:19" ht="18">
      <c r="A19" s="58" t="s">
        <v>148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</row>
    <row r="20" spans="1:19" ht="18">
      <c r="A20" s="60" t="s">
        <v>149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</row>
    <row r="21" spans="1:19" ht="15">
      <c r="A21" s="58" t="s">
        <v>150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</row>
    <row r="22" spans="1:19" ht="18">
      <c r="A22" s="58" t="s">
        <v>151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</row>
    <row r="23" spans="1:19" ht="18">
      <c r="A23" s="58" t="s">
        <v>152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</row>
    <row r="24" spans="1:19" ht="18">
      <c r="A24" s="60" t="s">
        <v>153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</row>
    <row r="25" spans="1:19" ht="18">
      <c r="A25" s="58" t="s">
        <v>154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</row>
    <row r="26" spans="1:19" ht="18">
      <c r="A26" s="58" t="s">
        <v>155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</row>
    <row r="27" spans="1:19" ht="18">
      <c r="A27" s="58" t="s">
        <v>156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</row>
    <row r="28" spans="1:19" ht="18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</row>
    <row r="29" spans="1:19" ht="25.8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</row>
    <row r="30" spans="1:19" ht="25.8">
      <c r="A30" s="54"/>
      <c r="B30" s="54"/>
      <c r="C30" s="54"/>
      <c r="D30" s="54"/>
      <c r="E30" s="54"/>
      <c r="F30" s="54"/>
      <c r="G30" s="54"/>
      <c r="H30" s="54"/>
      <c r="I30" s="54"/>
      <c r="J30" s="29"/>
      <c r="K30" s="55" t="s">
        <v>157</v>
      </c>
      <c r="L30" s="54"/>
      <c r="M30" s="54"/>
      <c r="N30" s="54"/>
      <c r="O30" s="54"/>
      <c r="P30" s="54"/>
      <c r="Q30" s="54"/>
      <c r="R30" s="54"/>
      <c r="S30" s="54"/>
    </row>
    <row r="31" spans="1:19" ht="18">
      <c r="A31" s="56" t="s">
        <v>158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</row>
    <row r="32" spans="1:19" ht="18">
      <c r="A32" s="56" t="s">
        <v>159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</row>
    <row r="33" spans="1:11" ht="18">
      <c r="A33" s="56" t="s">
        <v>160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</row>
    <row r="34" spans="1:11" ht="18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</row>
    <row r="35" spans="1:11" ht="18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</row>
    <row r="36" spans="1:11" ht="18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</row>
    <row r="37" spans="1:11" ht="18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</row>
  </sheetData>
  <mergeCells count="34">
    <mergeCell ref="A8:K8"/>
    <mergeCell ref="L6:V6"/>
    <mergeCell ref="A1:W3"/>
    <mergeCell ref="A4:K4"/>
    <mergeCell ref="A5:K5"/>
    <mergeCell ref="A6:K6"/>
    <mergeCell ref="A7:K7"/>
    <mergeCell ref="A20:K20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  <mergeCell ref="A18:K18"/>
    <mergeCell ref="A19:K19"/>
    <mergeCell ref="A27:K27"/>
    <mergeCell ref="A28:K28"/>
    <mergeCell ref="A21:K21"/>
    <mergeCell ref="A22:K22"/>
    <mergeCell ref="A23:K23"/>
    <mergeCell ref="A24:K24"/>
    <mergeCell ref="A25:K25"/>
    <mergeCell ref="A26:K26"/>
    <mergeCell ref="A36:K36"/>
    <mergeCell ref="A37:K37"/>
    <mergeCell ref="A31:K31"/>
    <mergeCell ref="A32:K32"/>
    <mergeCell ref="A33:K33"/>
    <mergeCell ref="A34:K34"/>
    <mergeCell ref="A35:K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 overview</vt:lpstr>
      <vt:lpstr>financial statement </vt:lpstr>
      <vt:lpstr>Ratio Analysis </vt:lpstr>
      <vt:lpstr>trend analysis </vt:lpstr>
      <vt:lpstr>Raw Dataset Table </vt:lpstr>
      <vt:lpstr>pivot table </vt:lpstr>
      <vt:lpstr>Dashboard </vt:lpstr>
      <vt:lpstr>business insights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 BLITZ</dc:creator>
  <cp:lastModifiedBy>Prashansa Shrivastava</cp:lastModifiedBy>
  <dcterms:created xsi:type="dcterms:W3CDTF">2015-06-05T18:17:20Z</dcterms:created>
  <dcterms:modified xsi:type="dcterms:W3CDTF">2026-07-16T13:12:04Z</dcterms:modified>
</cp:coreProperties>
</file>