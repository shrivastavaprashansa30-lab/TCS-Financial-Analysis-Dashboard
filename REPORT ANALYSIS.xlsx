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98d9359c5bc83295/Desktop/finance portfolio/TATA CONSULTANCY SERVICES/"/>
    </mc:Choice>
  </mc:AlternateContent>
  <xr:revisionPtr revIDLastSave="712" documentId="13_ncr:1_{4C31AFFC-4F3E-420A-896F-B3EBA755E6E3}" xr6:coauthVersionLast="47" xr6:coauthVersionMax="47" xr10:uidLastSave="{17853489-9B97-4D0D-AD8B-8A7965887FEA}"/>
  <bookViews>
    <workbookView xWindow="-108" yWindow="-108" windowWidth="23256" windowHeight="12456" firstSheet="3" activeTab="7" xr2:uid="{00000000-000D-0000-FFFF-FFFF00000000}"/>
  </bookViews>
  <sheets>
    <sheet name="company overview" sheetId="1" r:id="rId1"/>
    <sheet name="Industry Analysis " sheetId="17" r:id="rId2"/>
    <sheet name="financial statement " sheetId="2" r:id="rId3"/>
    <sheet name="Ratio Analysis " sheetId="3" r:id="rId4"/>
    <sheet name="trend analysis " sheetId="4" r:id="rId5"/>
    <sheet name="Raw Dataset Table " sheetId="12" r:id="rId6"/>
    <sheet name="Dashboard " sheetId="14" r:id="rId7"/>
    <sheet name="business insights " sheetId="1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2" l="1"/>
  <c r="E38" i="2"/>
  <c r="D38" i="2"/>
  <c r="C38" i="2"/>
  <c r="F31" i="2"/>
  <c r="E31" i="2"/>
  <c r="D31" i="2"/>
  <c r="C31" i="2"/>
  <c r="F26" i="2"/>
  <c r="E26" i="2"/>
  <c r="D26" i="2"/>
  <c r="C26" i="2"/>
  <c r="C14" i="2"/>
  <c r="F14" i="2"/>
  <c r="E14" i="2"/>
  <c r="D14" i="2"/>
</calcChain>
</file>

<file path=xl/sharedStrings.xml><?xml version="1.0" encoding="utf-8"?>
<sst xmlns="http://schemas.openxmlformats.org/spreadsheetml/2006/main" count="396" uniqueCount="330">
  <si>
    <t xml:space="preserve">FINANCIAL STATEMENT ANALYSIS </t>
  </si>
  <si>
    <t xml:space="preserve">TATA CONSULTANCY SERVICES </t>
  </si>
  <si>
    <t xml:space="preserve">PREPARED BY: PRASHANSA SHRIVASTAVA </t>
  </si>
  <si>
    <t xml:space="preserve">COMPANY INFORMATION </t>
  </si>
  <si>
    <t>COMPANY NAME</t>
  </si>
  <si>
    <t xml:space="preserve">INDUSTRY </t>
  </si>
  <si>
    <t xml:space="preserve">INFORMATION TECHNOLOGY SERVICES </t>
  </si>
  <si>
    <t>FOUNDED</t>
  </si>
  <si>
    <t xml:space="preserve">HEADQUATERS </t>
  </si>
  <si>
    <t>MUMBAI,MAHARASHTRA ,INDIA</t>
  </si>
  <si>
    <t xml:space="preserve">CEO </t>
  </si>
  <si>
    <t>K.KRITHIVASAN</t>
  </si>
  <si>
    <t xml:space="preserve">PARENT COMPANY </t>
  </si>
  <si>
    <t xml:space="preserve">TATA SONS </t>
  </si>
  <si>
    <t xml:space="preserve">LISTED ON </t>
  </si>
  <si>
    <t>NSE &amp; BSE</t>
  </si>
  <si>
    <t xml:space="preserve">EMPLOYESS </t>
  </si>
  <si>
    <t>MAIN BUSINESS</t>
  </si>
  <si>
    <t>IT SERVICES,CONSULTING &amp; BUSINESS SOLUTIONS</t>
  </si>
  <si>
    <t xml:space="preserve"> COMPANY SNAPSHOT </t>
  </si>
  <si>
    <t>Tata Consutancy Services (TCS) is a global provider of IT Services,consulting and digital transformation solutions.</t>
  </si>
  <si>
    <t>TCS focuses on creating long-term value for its clients, shareholders, employees, and society.</t>
  </si>
  <si>
    <t>The company has a global workforce of over 607,000 employees operating across 55 countries.</t>
  </si>
  <si>
    <t>TCS delivers its services through more than 200 service delivery centers worldwide.</t>
  </si>
  <si>
    <t>The company is recognized as one of the leading employers across multiple continents due to its strong workplace culture.</t>
  </si>
  <si>
    <t>Its global presence and skilled workforce enable it to serve clients in diverse industries around the world.</t>
  </si>
  <si>
    <t xml:space="preserve">PROJECT OBJECTIVE </t>
  </si>
  <si>
    <t xml:space="preserve">to analye the financial performance of TATA CONSULTANCY SERVICES by studying its financial statements, calculating </t>
  </si>
  <si>
    <t>financial ratios , identifying financial trends and drawing meaningful insights .</t>
  </si>
  <si>
    <t xml:space="preserve">SKILLS USED </t>
  </si>
  <si>
    <t xml:space="preserve">Financial Statement Analysis </t>
  </si>
  <si>
    <t>Ratio Analysis</t>
  </si>
  <si>
    <t xml:space="preserve">Financial Reporting </t>
  </si>
  <si>
    <t>Data Interpretation</t>
  </si>
  <si>
    <t>Business Research</t>
  </si>
  <si>
    <t xml:space="preserve">FINANCIAL SATEMENTS </t>
  </si>
  <si>
    <t xml:space="preserve">STATEMENT OF PROFIT &amp; LOSS </t>
  </si>
  <si>
    <t>PARTICULARS</t>
  </si>
  <si>
    <t>FY23</t>
  </si>
  <si>
    <t>FY24</t>
  </si>
  <si>
    <t>FY25</t>
  </si>
  <si>
    <t>FY22</t>
  </si>
  <si>
    <t>Revenue From Operations</t>
  </si>
  <si>
    <t xml:space="preserve">Other income </t>
  </si>
  <si>
    <t xml:space="preserve">TOTAL INCOME </t>
  </si>
  <si>
    <t xml:space="preserve">₹ in crore </t>
  </si>
  <si>
    <t>EXPENSES</t>
  </si>
  <si>
    <t xml:space="preserve">Employee Benefit Expenses </t>
  </si>
  <si>
    <t xml:space="preserve">finance Costs </t>
  </si>
  <si>
    <t xml:space="preserve">Cost of  Equipment and Software licenses </t>
  </si>
  <si>
    <t>Depreciation &amp; ammortisation expenses</t>
  </si>
  <si>
    <t>Other Expenses</t>
  </si>
  <si>
    <t xml:space="preserve">TOTAL EXPENSES </t>
  </si>
  <si>
    <t xml:space="preserve">PROFIT BEFORE TAX </t>
  </si>
  <si>
    <t xml:space="preserve">Total Tax Expense </t>
  </si>
  <si>
    <t xml:space="preserve">PROFIT FOR THE YEAR </t>
  </si>
  <si>
    <t>Weighte average  number of equity shares</t>
  </si>
  <si>
    <t>EARNING PER EQUITY SHARE</t>
  </si>
  <si>
    <t>BALANCE SHEET</t>
  </si>
  <si>
    <t xml:space="preserve">PARTICULARS </t>
  </si>
  <si>
    <t xml:space="preserve">₹ In crore </t>
  </si>
  <si>
    <t xml:space="preserve">TOTAL ASSETS </t>
  </si>
  <si>
    <t xml:space="preserve">ASSETS </t>
  </si>
  <si>
    <t>EQUITY &amp; LIABILITIES</t>
  </si>
  <si>
    <t>TOTAL EQUITY &amp; LIABILITITES</t>
  </si>
  <si>
    <t xml:space="preserve">CASH FLOW STATEMENT </t>
  </si>
  <si>
    <t>Total Non-Current Assets</t>
  </si>
  <si>
    <t>Total Current Assets</t>
  </si>
  <si>
    <t>Total Equity</t>
  </si>
  <si>
    <t>Total Non-Current Liabilities</t>
  </si>
  <si>
    <t>Total Current Liabilities</t>
  </si>
  <si>
    <t xml:space="preserve">Cash Flow From Operating Activities </t>
  </si>
  <si>
    <t>₹ In crore</t>
  </si>
  <si>
    <t>Cash Flow From Investing Activities</t>
  </si>
  <si>
    <t>Cash Flow From Financing Activities</t>
  </si>
  <si>
    <t xml:space="preserve">Net Increase Or Decrease in Cash and Cash Equivalent </t>
  </si>
  <si>
    <t xml:space="preserve">Cash and Cash Equivalent at the End of the year </t>
  </si>
  <si>
    <t xml:space="preserve">RATIO ANALYSIS </t>
  </si>
  <si>
    <t>Operating Profit Margin</t>
  </si>
  <si>
    <t>Net Profit Margin</t>
  </si>
  <si>
    <t xml:space="preserve">Return On Asset </t>
  </si>
  <si>
    <t xml:space="preserve">Return On Equity </t>
  </si>
  <si>
    <r>
      <rPr>
        <b/>
        <sz val="14"/>
        <color theme="0"/>
        <rFont val="Calibri"/>
        <family val="2"/>
        <scheme val="minor"/>
      </rPr>
      <t>PROFITABILITY RATIOS</t>
    </r>
    <r>
      <rPr>
        <b/>
        <sz val="14"/>
        <color theme="1"/>
        <rFont val="Calibri"/>
        <family val="2"/>
        <scheme val="minor"/>
      </rPr>
      <t xml:space="preserve"> </t>
    </r>
  </si>
  <si>
    <t xml:space="preserve">LIQUIDITY RATIO </t>
  </si>
  <si>
    <t>Current Ratio</t>
  </si>
  <si>
    <t>Cash Ratio</t>
  </si>
  <si>
    <t>Quick Ratio</t>
  </si>
  <si>
    <t>EFFICIENCY RATIO</t>
  </si>
  <si>
    <t>Total Assets Turnover Ratio</t>
  </si>
  <si>
    <t>Receivables Turnover Ratio</t>
  </si>
  <si>
    <t>Working Capital Turnover Ratio</t>
  </si>
  <si>
    <t>SOLVENCY RATIO</t>
  </si>
  <si>
    <t>Debt-To-Equity Ratio</t>
  </si>
  <si>
    <t>Debt Ratio</t>
  </si>
  <si>
    <t>MARKET RATIO</t>
  </si>
  <si>
    <t xml:space="preserve">Earning Per Share </t>
  </si>
  <si>
    <t xml:space="preserve">Price-To-Earnings Ratio </t>
  </si>
  <si>
    <t xml:space="preserve">TREND ANALYSIS </t>
  </si>
  <si>
    <t>FY 23 GROWTH %</t>
  </si>
  <si>
    <t>FY 24 GROWTH %</t>
  </si>
  <si>
    <t>FY 25 GROWTH %</t>
  </si>
  <si>
    <t xml:space="preserve">OVERALL TREND </t>
  </si>
  <si>
    <t>Revenue From Operation</t>
  </si>
  <si>
    <t>Total Income</t>
  </si>
  <si>
    <t>Profit Before Tax</t>
  </si>
  <si>
    <t>Profit After Tax</t>
  </si>
  <si>
    <t>Total Assets</t>
  </si>
  <si>
    <t>Total Liabilities</t>
  </si>
  <si>
    <t>Operating Cash Flow</t>
  </si>
  <si>
    <t>Net Increase/(Decrease) in Cash</t>
  </si>
  <si>
    <t>Cash &amp; Cash Equivalents at End of Year</t>
  </si>
  <si>
    <t>Earnings Per Share (EPS)</t>
  </si>
  <si>
    <t>📈 Consistent Growth</t>
  </si>
  <si>
    <t>📈 Steady Growth</t>
  </si>
  <si>
    <t>📈 Positive Growth</t>
  </si>
  <si>
    <t>↕️ Fluctuating</t>
  </si>
  <si>
    <t>Revenue</t>
  </si>
  <si>
    <t>PAT</t>
  </si>
  <si>
    <t>ROE</t>
  </si>
  <si>
    <t>ROA</t>
  </si>
  <si>
    <t>Year</t>
  </si>
  <si>
    <t xml:space="preserve">DASHBOARD </t>
  </si>
  <si>
    <t xml:space="preserve"> The absence of any decline in revenue reflects the company's stable business model.</t>
  </si>
  <si>
    <t>2.TCS demonstrated consistent top-line growth, indicating strong demand for its IT services, successful client acquisition, and expansion across global markets.</t>
  </si>
  <si>
    <r>
      <rPr>
        <b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. </t>
    </r>
    <r>
      <rPr>
        <b/>
        <sz val="14"/>
        <color theme="1"/>
        <rFont val="Calibri"/>
        <family val="2"/>
        <scheme val="minor"/>
      </rPr>
      <t>REVENUE FROM OPERATION</t>
    </r>
  </si>
  <si>
    <t xml:space="preserve">2.PROFIT AFTER TAX </t>
  </si>
  <si>
    <t xml:space="preserve">2.The steady increase in net profit indicates that TCS maintained strong profitability while expanding its operations.Although profit grew slightly slower than </t>
  </si>
  <si>
    <t>revenue, the company continued to generate substantial earnings, reflecting sound cost management and operational efficiency.</t>
  </si>
  <si>
    <t xml:space="preserve">3.TOTAL ASSETS </t>
  </si>
  <si>
    <t>2.The continuous increase in total assets suggests ongoing investment in business resources and expansion. Asset growth supports the company''s long-term</t>
  </si>
  <si>
    <t>operational capacity and future growth opportunities.</t>
  </si>
  <si>
    <t>4. Return on Equity (ROE)</t>
  </si>
  <si>
    <t xml:space="preserve">2.The rising ROE indicates that TCS generated increasingly higher returns from shareholders' equity. This reflects efficient capital utilization and strong value </t>
  </si>
  <si>
    <t>creation for investors.</t>
  </si>
  <si>
    <t>5. Return on Assets (ROA)</t>
  </si>
  <si>
    <t>2.The improvement in ROA shows that TCS became more effective at converting its asset base into profits. Higher ROA reflects efficient asset management and</t>
  </si>
  <si>
    <t xml:space="preserve"> improved operational performance.</t>
  </si>
  <si>
    <t>6. Current Ratio</t>
  </si>
  <si>
    <t>CONCLUSION</t>
  </si>
  <si>
    <t>TCS demonstrated strong financial performance during FY22–FY25.</t>
  </si>
  <si>
    <t>The company achieved sustained revenue growth, maintained healthy profitability, improved returns on equity and assets, preserved a strong liquidity position.</t>
  </si>
  <si>
    <t>Overall, the financial indicators suggest that TCS remained financially stable, operationally efficient, and well-positioned for long-term growth.</t>
  </si>
  <si>
    <r>
      <rPr>
        <b/>
        <u/>
        <sz val="20"/>
        <color theme="0"/>
        <rFont val="Calibri"/>
        <family val="2"/>
        <scheme val="minor"/>
      </rPr>
      <t>BUSINESS INSIGHTS</t>
    </r>
    <r>
      <rPr>
        <b/>
        <sz val="20"/>
        <color theme="0"/>
        <rFont val="Calibri"/>
        <family val="2"/>
        <scheme val="minor"/>
      </rPr>
      <t xml:space="preserve"> </t>
    </r>
  </si>
  <si>
    <t xml:space="preserve">INDUSTRY ANALYSIS </t>
  </si>
  <si>
    <t xml:space="preserve">INDIAN IT SERVICE INDUSTRY </t>
  </si>
  <si>
    <t xml:space="preserve">INDUSTRY OVERVIEW </t>
  </si>
  <si>
    <t xml:space="preserve">The Indian Information Technology (IT) and Business Process Management (BPM) industry is one of the largest contributors to India’s economy and a key driver of exports, employment, and digital </t>
  </si>
  <si>
    <t>innovation. The industry provides software development, IT consulting, cloud computing, artificial intelligence (AI), cybersecurity, engineering services , and business processoutsourcing solutions</t>
  </si>
  <si>
    <t>to clients across the globe.</t>
  </si>
  <si>
    <t>India has emerged as a preferred global outsourcing destination due to its large skilled workforce, cost competitiveness, strong engineering talent, and mature delivery capabilities.</t>
  </si>
  <si>
    <t xml:space="preserve">The Indian IT industry is projected to reach a size of USD 350 billion by 2026, contributing 10% to the country's GDP.The sector is expected to grow at a moderate pace, with high-growth pockets in AI, cloud, </t>
  </si>
  <si>
    <t xml:space="preserve"> cybersecurity, and engineering services offsetting slower legacy segments.The sector is expected to grow substantially, with a projected revenue of US$ 297 billion in FY25and exports at US$ 233 </t>
  </si>
  <si>
    <t xml:space="preserve">billion. India boasts the world's largest developer workforce, with over 5.4 million software engineers, and its universities produce more than 500,000 new graduates each year. </t>
  </si>
  <si>
    <t xml:space="preserve">The global software outsourcing sector is forecast to expand at a CAGR of 7.54% from 2023 to 2027, with Asia leading the growth rate at 9.16%. IIndia holds approximately 17.58% of the  e global </t>
  </si>
  <si>
    <t>outsourcing market. The Indian IT industry is also poised to double its revenue to US$ 500 billion by 2030.</t>
  </si>
  <si>
    <t xml:space="preserve">KEY INSGHTS </t>
  </si>
  <si>
    <t>India is among the world’s leading IT services exporters.</t>
  </si>
  <si>
    <t>The industry contributes significantly to India’s GDP and foreign exchange earnings.</t>
  </si>
  <si>
    <t>Indian IT firms serve clients across North America, Europe, Asia-Pacific, and the Middle East.</t>
  </si>
  <si>
    <t>The sector employs millions of professionals, making it one of the largest private-sector employers in the country.</t>
  </si>
  <si>
    <t xml:space="preserve">INDUSTRY SIZE AND GROWTH </t>
  </si>
  <si>
    <t>This section describes the current scale of the Indian IT-BPM industry.</t>
  </si>
  <si>
    <t>Indian IT-BPM Industry Size</t>
  </si>
  <si>
    <t xml:space="preserve">The Indian Information Technology and Business Process Management (IT-BPM) industry is one of the largest contributors to India's service sector and plays a vital role in exports,employment </t>
  </si>
  <si>
    <t xml:space="preserve"> generation,and digital transformation. The industry comprises IT services, Business Process Management (BPM), Engineering Research &amp; Development (ER&amp;D), and Software Products.</t>
  </si>
  <si>
    <t xml:space="preserve">PARTICULAR </t>
  </si>
  <si>
    <t xml:space="preserve">VALUE </t>
  </si>
  <si>
    <t xml:space="preserve">Total Industry Revenue </t>
  </si>
  <si>
    <t>US$ 282.6 Billion</t>
  </si>
  <si>
    <t xml:space="preserve">Export Revenue </t>
  </si>
  <si>
    <t>US$ 210 Billion</t>
  </si>
  <si>
    <t xml:space="preserve">Domestic Revenue </t>
  </si>
  <si>
    <t>US$ 72 Billion</t>
  </si>
  <si>
    <t>Workforce</t>
  </si>
  <si>
    <t>5.8 Million+</t>
  </si>
  <si>
    <t xml:space="preserve">Contribution to India's GDP </t>
  </si>
  <si>
    <t>7–8%</t>
  </si>
  <si>
    <t>Global Position</t>
  </si>
  <si>
    <t>Leading IT Outsourcing Destination</t>
  </si>
  <si>
    <t xml:space="preserve">ANALYSIS </t>
  </si>
  <si>
    <t>The Indian IT-BPM industry has become one of the world's largest technology ecosystems. Its strong export orientation, highly skilled workforce, and cost-efficient service delivery have positioned India</t>
  </si>
  <si>
    <t>as a preferred destination for global enterprises seeking technology and consulting services.</t>
  </si>
  <si>
    <t xml:space="preserve">MARKET SIZE </t>
  </si>
  <si>
    <t>Indian IT Services Market</t>
  </si>
  <si>
    <t>understanding of the company's primary business environment.</t>
  </si>
  <si>
    <t>Market Size</t>
  </si>
  <si>
    <t>YEAR</t>
  </si>
  <si>
    <t>MARKET SIZE (USD BILLION)</t>
  </si>
  <si>
    <t>2030 (FORECAST)</t>
  </si>
  <si>
    <t>CAGR (2025–2030): 9.06%</t>
  </si>
  <si>
    <t xml:space="preserve">The Indian IT Services market is expected to expand significantly over the coming years, supported by increasing enterprise spending on digital transformation, cloud computing, artificial intelligence, </t>
  </si>
  <si>
    <t>cybersecurity, and managed services.</t>
  </si>
  <si>
    <t>INDUSTRY GROWTH</t>
  </si>
  <si>
    <t>This section explains how the industry has grown over time,</t>
  </si>
  <si>
    <t>Historical Growth of the Indian IT-BPM Industry</t>
  </si>
  <si>
    <t xml:space="preserve">Financial Year </t>
  </si>
  <si>
    <t xml:space="preserve"> Industry Revenue (US$BILLION)</t>
  </si>
  <si>
    <t>FY2021</t>
  </si>
  <si>
    <t>FY2022</t>
  </si>
  <si>
    <t>FY2023</t>
  </si>
  <si>
    <t>FY2024</t>
  </si>
  <si>
    <t>FY2025</t>
  </si>
  <si>
    <t xml:space="preserve">The Indian IT-BPM industry has demonstrated consistent growth over the past five years. Revenue increased from approximately US$194 billion in FY2021 to US$282.6 billion in FY2025, reflecting </t>
  </si>
  <si>
    <t>strong global demand for technology consulting, cloud migration, AI solutions, cybersecurity, and digital engineering services.</t>
  </si>
  <si>
    <t>FUTURE OUTLOOK</t>
  </si>
  <si>
    <t>The long-term outlook for the Indian IT industry remains positive. Enterprises worldwide are increasing investments in digital technologies to improve operational efficiency and customer experience.</t>
  </si>
  <si>
    <t>Major Growth Areas :</t>
  </si>
  <si>
    <t>Artificial Intelligence (AI) &amp; Generative AI</t>
  </si>
  <si>
    <t>Cloud Computing</t>
  </si>
  <si>
    <t>Cybersecurity</t>
  </si>
  <si>
    <t>Data Analytics</t>
  </si>
  <si>
    <t>Automation &amp; Robotics</t>
  </si>
  <si>
    <t>Internet of Things (IoT)</t>
  </si>
  <si>
    <t>5G and Edge Computing</t>
  </si>
  <si>
    <t>Digital Engineering</t>
  </si>
  <si>
    <t xml:space="preserve">COMPETITIVE  LANDSCAPE </t>
  </si>
  <si>
    <t>The Indian IT industry is highly competitive, with a mix of large diversified players and specialized technology firms.</t>
  </si>
  <si>
    <t xml:space="preserve">MAJOR INDIAN COMPETITORS </t>
  </si>
  <si>
    <t xml:space="preserve">Company </t>
  </si>
  <si>
    <t xml:space="preserve">Approx. Market Position </t>
  </si>
  <si>
    <t>TCS</t>
  </si>
  <si>
    <t>Industry Leader</t>
  </si>
  <si>
    <t>Infosys</t>
  </si>
  <si>
    <t>Top 2–3 Player</t>
  </si>
  <si>
    <t xml:space="preserve">HCL Technologies </t>
  </si>
  <si>
    <t>Strong Engineering Focus</t>
  </si>
  <si>
    <t>Wipro</t>
  </si>
  <si>
    <t>Diversified IT Services</t>
  </si>
  <si>
    <t>Tech Mahindra</t>
  </si>
  <si>
    <t>Telecom &amp; Enterprise Focus</t>
  </si>
  <si>
    <t>LTIMindtree</t>
  </si>
  <si>
    <t>Fast-growing Mid-tier Player</t>
  </si>
  <si>
    <t xml:space="preserve">INDUSTRY VALUE CHAIN </t>
  </si>
  <si>
    <t>Client Need</t>
  </si>
  <si>
    <t xml:space="preserve"> ▼</t>
  </si>
  <si>
    <t>Business Consulting</t>
  </si>
  <si>
    <t>Software Development</t>
  </si>
  <si>
    <t xml:space="preserve">  ▼</t>
  </si>
  <si>
    <t>Testing &amp; Quality Assurance</t>
  </si>
  <si>
    <t>Implementation &amp; Deployment</t>
  </si>
  <si>
    <t>Cloud &amp; Infrastructure Services</t>
  </si>
  <si>
    <t>Application Maintenance &amp; Support</t>
  </si>
  <si>
    <t>Business Process Management (BPM)</t>
  </si>
  <si>
    <t>Continuous Innovation (AI, Cloud, Automation)</t>
  </si>
  <si>
    <t xml:space="preserve">PORTER'S FIVE FORCE ANALYSIS </t>
  </si>
  <si>
    <t>Threat of New Entrants</t>
  </si>
  <si>
    <t>Requires large-scale talent, global delivery infrastructure, brand credibility, and long-term client relationships.</t>
  </si>
  <si>
    <t>Bargaining Power of Customers</t>
  </si>
  <si>
    <t>Large enterprises can negotiate pricing and shift work among vendors</t>
  </si>
  <si>
    <t>Bargaining Power of Suppliers</t>
  </si>
  <si>
    <t>Skilled technology professionals are the primary resource, and wage inflation can affect margins.</t>
  </si>
  <si>
    <t>Threat of Substitutes</t>
  </si>
  <si>
    <t>Automation, low-code platforms, and AI tools can reduce demand for some traditional services.</t>
  </si>
  <si>
    <t>Industry Rivalry</t>
  </si>
  <si>
    <t>Intense competition among Indian and global IT service providers on pricing, talent, innovation, and execution capability.</t>
  </si>
  <si>
    <t xml:space="preserve">KEY INDUSTRY DRIVERS </t>
  </si>
  <si>
    <t>Digital Transformation</t>
  </si>
  <si>
    <t>Organizations are modernizing legacy systems and adopting digital platforms to improve agility and customer experience.</t>
  </si>
  <si>
    <t>Cloud Adoption</t>
  </si>
  <si>
    <t>Migration to public, private, and hybrid cloud environments is creating significant demand for cloud consulting and managed services.</t>
  </si>
  <si>
    <t>AI and Generative AI</t>
  </si>
  <si>
    <t>Enterprises are investing in AI-powered automation, analytics, and customer engagement solutions.</t>
  </si>
  <si>
    <t>Rising cyber threats and regulatory requirements are increasing spending on security services.</t>
  </si>
  <si>
    <t>Businesses are using advanced analytics and AI to drive decision-making and operational efficiency.</t>
  </si>
  <si>
    <t>Engineering &amp; R&amp;D</t>
  </si>
  <si>
    <t>Demand for product engineering, embedded systems, and digital engineering services is growing across industries.</t>
  </si>
  <si>
    <t xml:space="preserve">INDUSTRY CHALLENGES </t>
  </si>
  <si>
    <t>Pricing Pressure</t>
  </si>
  <si>
    <t>Clients continuously seek cost optimization, which can affect revenue growth and margins.</t>
  </si>
  <si>
    <t>Talent Attrition</t>
  </si>
  <si>
    <t>High employee attrition remains a key challenge for IT companies, leading to higher hiring and training costs.</t>
  </si>
  <si>
    <t>Currency Fluctuations</t>
  </si>
  <si>
    <t>A significant portion of revenue is earned in foreign currencies, exposing companies to exchange-rate volatility.</t>
  </si>
  <si>
    <t>Global Economic Slowdown</t>
  </si>
  <si>
    <t>Weakness in the US or European economies can delay client technology spending.</t>
  </si>
  <si>
    <t>Rapid Technological Change</t>
  </si>
  <si>
    <t>Continuous investment is required to stay competitive in AI, cloud, and cybersecurity.</t>
  </si>
  <si>
    <t xml:space="preserve">REGULATORY ENVIRONMENT </t>
  </si>
  <si>
    <t>The industry is influenced by:</t>
  </si>
  <si>
    <t>Data protection regulations (GDPR, India’s Digital Personal Data Protection Act)</t>
  </si>
  <si>
    <t>Visa and immigration policies</t>
  </si>
  <si>
    <t>Intellectual property laws</t>
  </si>
  <si>
    <t>Cybersecurity regulations</t>
  </si>
  <si>
    <t>Environmental and sustainability reporting requirements</t>
  </si>
  <si>
    <t xml:space="preserve">SWOT ANALYSIS OF THE INDIAN IT INDUSTRY </t>
  </si>
  <si>
    <t xml:space="preserve">STRENGTHS </t>
  </si>
  <si>
    <t>WEAKNESS</t>
  </si>
  <si>
    <t xml:space="preserve">OPPORTUNITIES </t>
  </si>
  <si>
    <t xml:space="preserve">THREATS </t>
  </si>
  <si>
    <t xml:space="preserve">Large Skilled Workforce </t>
  </si>
  <si>
    <t>Dependence on North American markets</t>
  </si>
  <si>
    <t>AI and Generative AI services</t>
  </si>
  <si>
    <t>Global recession</t>
  </si>
  <si>
    <t>Cost Competitiveness</t>
  </si>
  <si>
    <t>Exposure to wage inflation</t>
  </si>
  <si>
    <t>Cloud transformation</t>
  </si>
  <si>
    <t>Protectionist policies</t>
  </si>
  <si>
    <t xml:space="preserve">Global Delivery Model </t>
  </si>
  <si>
    <t>Limited ownership of proprietary products</t>
  </si>
  <si>
    <t>Digital engineering</t>
  </si>
  <si>
    <t>Intense global competition</t>
  </si>
  <si>
    <t>Strong Engineering  Education Base</t>
  </si>
  <si>
    <t>High attrition rates</t>
  </si>
  <si>
    <t>Cybersecurity consulting</t>
  </si>
  <si>
    <t>Cybersecurity risks</t>
  </si>
  <si>
    <t>Estabilished Reputation In Outsourcing</t>
  </si>
  <si>
    <t>Government digital initiatives</t>
  </si>
  <si>
    <t>Automation reducing traditional outsourcing demand</t>
  </si>
  <si>
    <t xml:space="preserve">The Indian IT services industry has established itself as one of the most important contributors to the country's economic growth and global competitiveness.Rapid advancements in technologies such </t>
  </si>
  <si>
    <t>as artificial intelligence (AI), cloud computing, cybersecurity, digital engineering, and data analytics continue to create new opportunities for the industry. Although challenges such as pricing pressure,</t>
  </si>
  <si>
    <t>ncreasing employee costs, intense competition, and global economic uncertainty may affect short-term performance, the industry's long-term growth prospects remain strong due to</t>
  </si>
  <si>
    <t>the increasing digital transformation initiatives undertaken by businesses worldwide.</t>
  </si>
  <si>
    <t>As one of the leading IT services companies, Infosys is well-positioned to capitalize on these opportunities. The company's diversified client portfolio, global presence, strong technological capabilities,</t>
  </si>
  <si>
    <t>continuous investment in innovation, and sound financial position provide it with a competitive advantage in the rapidly evolving technology landscape.Overall, the industry offers a favorable</t>
  </si>
  <si>
    <t xml:space="preserve">business environment for Infosys, making it an appropriate company for further analysis.The insights gained from this industry analysis will provide a strong foundation for understanding the company's </t>
  </si>
  <si>
    <t>business operations, financial performance, competitive position, and future growth potential in the subsequent chapters of this report.</t>
  </si>
  <si>
    <t xml:space="preserve">TCS  POSITION WITHIN THE INDUSTRY </t>
  </si>
  <si>
    <t>Tata Consultancy Services (TCS) holds a leading position in the global IT services and consulting industry and is India's largest IT services company.</t>
  </si>
  <si>
    <t>TCS is the largest IT services company in India by revenue and market presence.</t>
  </si>
  <si>
    <t>TCS operates across major global markets, including North America, Europe, Asia-Pacific, and other emerging markets.</t>
  </si>
  <si>
    <t>TCS has a highly recognised global brand and benefits from the reputation and credibility of the Tata Group.</t>
  </si>
  <si>
    <t>TCS competes in the top tier of the global IT services industry alongside companies such as Accenture, IBM Consulting, Capgemini, Cognizant, Infosys, and HCLTech.</t>
  </si>
  <si>
    <t>While the IT-BPM industry includes multiple segments, TCS generates the majority of its revenue from IT Services and Consulting.Therefore, analyzing the IT Services market provides a better 
Market Size</t>
  </si>
  <si>
    <t>\</t>
  </si>
  <si>
    <t>1.PAT increased from ₹38,449 Cr in FY22 to ₹48,797 Cr in FY25, an increase of around 26.9%.</t>
  </si>
  <si>
    <t>1.Total assets increased from ₹1,41,514 Cr in FY22 to ₹1,59,629 Cr in FY25, representing growth of approximately 12.8%.</t>
  </si>
  <si>
    <t>1.Revenue increased from ₹1,91,754 Cr in FY22 to ₹2,55,324 Cr in FY25, representing an overall growth of approximately 33.2% over four years</t>
  </si>
  <si>
    <t>1.ROE improved from 43.47% in FY22 to 52.16% in FY25.</t>
  </si>
  <si>
    <t>1.ROA increased from 28.24% in FY22 to 31.88% in FY25.</t>
  </si>
  <si>
    <t>"The current ratio declined slightly from 2.56 in FY22 to 2.32 in FY25, but remained comfortably above 2 throughout the period, indicating TCS retained a strong liquidity position even as the ratio moderated."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</si>
</sst>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&quot;₹&quot;\ #,##0.00"/>
  </numFmts>
  <fonts count="2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000000"/>
      <name val="Arial Unicode MS"/>
    </font>
    <font>
      <b/>
      <sz val="14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u/>
      <sz val="20"/>
      <color theme="0"/>
      <name val="Calibri"/>
      <family val="2"/>
      <scheme val="minor"/>
    </font>
    <font>
      <sz val="8"/>
      <name val="Calibri"/>
      <family val="2"/>
      <scheme val="minor"/>
    </font>
    <font>
      <b/>
      <u/>
      <sz val="1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118">
    <xf numFmtId="0" fontId="0" fillId="0" borderId="0" xfId="0"/>
    <xf numFmtId="0" fontId="5" fillId="0" borderId="1" xfId="0" applyFont="1" applyBorder="1"/>
    <xf numFmtId="0" fontId="5" fillId="0" borderId="0" xfId="0" applyFont="1" applyAlignment="1">
      <alignment horizontal="center"/>
    </xf>
    <xf numFmtId="0" fontId="5" fillId="0" borderId="0" xfId="0" applyFont="1"/>
    <xf numFmtId="0" fontId="10" fillId="0" borderId="0" xfId="0" applyFont="1"/>
    <xf numFmtId="0" fontId="10" fillId="0" borderId="1" xfId="0" applyFont="1" applyBorder="1" applyAlignment="1">
      <alignment horizontal="left"/>
    </xf>
    <xf numFmtId="0" fontId="10" fillId="0" borderId="1" xfId="0" applyFont="1" applyBorder="1"/>
    <xf numFmtId="3" fontId="5" fillId="0" borderId="0" xfId="0" applyNumberFormat="1" applyFont="1"/>
    <xf numFmtId="164" fontId="5" fillId="0" borderId="0" xfId="0" applyNumberFormat="1" applyFont="1"/>
    <xf numFmtId="164" fontId="5" fillId="0" borderId="3" xfId="0" applyNumberFormat="1" applyFont="1" applyBorder="1"/>
    <xf numFmtId="164" fontId="11" fillId="0" borderId="0" xfId="0" applyNumberFormat="1" applyFont="1"/>
    <xf numFmtId="164" fontId="12" fillId="4" borderId="2" xfId="0" applyNumberFormat="1" applyFont="1" applyFill="1" applyBorder="1"/>
    <xf numFmtId="164" fontId="12" fillId="4" borderId="1" xfId="0" applyNumberFormat="1" applyFont="1" applyFill="1" applyBorder="1"/>
    <xf numFmtId="0" fontId="7" fillId="3" borderId="1" xfId="0" applyFont="1" applyFill="1" applyBorder="1"/>
    <xf numFmtId="43" fontId="5" fillId="0" borderId="0" xfId="1" applyFont="1"/>
    <xf numFmtId="164" fontId="5" fillId="0" borderId="0" xfId="0" applyNumberFormat="1" applyFont="1" applyAlignment="1">
      <alignment wrapText="1"/>
    </xf>
    <xf numFmtId="164" fontId="0" fillId="0" borderId="0" xfId="0" applyNumberFormat="1" applyAlignment="1">
      <alignment wrapText="1"/>
    </xf>
    <xf numFmtId="164" fontId="12" fillId="4" borderId="1" xfId="0" applyNumberFormat="1" applyFont="1" applyFill="1" applyBorder="1" applyAlignment="1">
      <alignment wrapText="1"/>
    </xf>
    <xf numFmtId="164" fontId="10" fillId="0" borderId="1" xfId="0" applyNumberFormat="1" applyFont="1" applyBorder="1" applyAlignment="1">
      <alignment wrapText="1"/>
    </xf>
    <xf numFmtId="2" fontId="12" fillId="4" borderId="1" xfId="0" applyNumberFormat="1" applyFont="1" applyFill="1" applyBorder="1"/>
    <xf numFmtId="0" fontId="10" fillId="0" borderId="1" xfId="0" applyFont="1" applyBorder="1" applyAlignment="1">
      <alignment wrapText="1"/>
    </xf>
    <xf numFmtId="164" fontId="5" fillId="0" borderId="1" xfId="0" applyNumberFormat="1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10" fillId="0" borderId="1" xfId="0" applyFont="1" applyBorder="1" applyAlignment="1">
      <alignment horizontal="center" wrapText="1"/>
    </xf>
    <xf numFmtId="164" fontId="0" fillId="0" borderId="0" xfId="0" applyNumberFormat="1"/>
    <xf numFmtId="10" fontId="5" fillId="0" borderId="1" xfId="0" applyNumberFormat="1" applyFont="1" applyBorder="1"/>
    <xf numFmtId="2" fontId="16" fillId="3" borderId="1" xfId="0" applyNumberFormat="1" applyFont="1" applyFill="1" applyBorder="1" applyAlignment="1">
      <alignment wrapText="1"/>
    </xf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right" vertical="center" wrapText="1"/>
    </xf>
    <xf numFmtId="0" fontId="3" fillId="4" borderId="0" xfId="0" applyFont="1" applyFill="1" applyAlignment="1">
      <alignment horizontal="center"/>
    </xf>
    <xf numFmtId="164" fontId="5" fillId="3" borderId="1" xfId="0" applyNumberFormat="1" applyFont="1" applyFill="1" applyBorder="1" applyAlignment="1">
      <alignment wrapText="1"/>
    </xf>
    <xf numFmtId="49" fontId="5" fillId="0" borderId="0" xfId="2" applyNumberFormat="1" applyFont="1"/>
    <xf numFmtId="49" fontId="5" fillId="0" borderId="0" xfId="0" applyNumberFormat="1" applyFont="1"/>
    <xf numFmtId="10" fontId="1" fillId="0" borderId="0" xfId="0" applyNumberFormat="1" applyFont="1" applyAlignment="1">
      <alignment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10" fontId="5" fillId="0" borderId="1" xfId="0" applyNumberFormat="1" applyFont="1" applyBorder="1" applyAlignment="1">
      <alignment vertical="center" wrapText="1"/>
    </xf>
    <xf numFmtId="10" fontId="5" fillId="0" borderId="1" xfId="2" applyNumberFormat="1" applyFont="1" applyBorder="1" applyAlignment="1">
      <alignment wrapText="1"/>
    </xf>
    <xf numFmtId="164" fontId="17" fillId="3" borderId="1" xfId="0" applyNumberFormat="1" applyFont="1" applyFill="1" applyBorder="1" applyAlignment="1">
      <alignment wrapText="1"/>
    </xf>
    <xf numFmtId="2" fontId="5" fillId="3" borderId="1" xfId="0" applyNumberFormat="1" applyFont="1" applyFill="1" applyBorder="1" applyAlignment="1">
      <alignment wrapText="1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0" fillId="0" borderId="5" xfId="0" applyBorder="1" applyAlignment="1">
      <alignment vertical="center"/>
    </xf>
    <xf numFmtId="0" fontId="0" fillId="0" borderId="1" xfId="0" applyBorder="1" applyAlignment="1">
      <alignment vertical="center"/>
    </xf>
    <xf numFmtId="10" fontId="0" fillId="0" borderId="1" xfId="0" applyNumberForma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0" xfId="0" applyBorder="1" applyAlignment="1">
      <alignment vertical="center"/>
    </xf>
    <xf numFmtId="10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0" fontId="3" fillId="4" borderId="0" xfId="0" applyFont="1" applyFill="1"/>
    <xf numFmtId="0" fontId="18" fillId="4" borderId="0" xfId="0" applyFont="1" applyFill="1"/>
    <xf numFmtId="0" fontId="0" fillId="0" borderId="0" xfId="0" applyAlignment="1">
      <alignment vertical="center"/>
    </xf>
    <xf numFmtId="0" fontId="3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/>
    </xf>
    <xf numFmtId="3" fontId="5" fillId="4" borderId="1" xfId="0" applyNumberFormat="1" applyFont="1" applyFill="1" applyBorder="1" applyAlignment="1">
      <alignment horizontal="left"/>
    </xf>
    <xf numFmtId="0" fontId="5" fillId="4" borderId="1" xfId="0" applyFont="1" applyFill="1" applyBorder="1" applyAlignment="1">
      <alignment horizontal="left"/>
    </xf>
    <xf numFmtId="0" fontId="5" fillId="0" borderId="1" xfId="0" applyFont="1" applyBorder="1" applyAlignment="1">
      <alignment horizontal="center" wrapText="1"/>
    </xf>
    <xf numFmtId="0" fontId="4" fillId="2" borderId="1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5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8" fillId="4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wrapText="1"/>
    </xf>
    <xf numFmtId="0" fontId="5" fillId="0" borderId="0" xfId="0" applyFont="1"/>
    <xf numFmtId="0" fontId="8" fillId="4" borderId="1" xfId="0" applyFont="1" applyFill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12" fillId="4" borderId="0" xfId="0" applyFont="1" applyFill="1" applyAlignment="1">
      <alignment horizontal="center"/>
    </xf>
    <xf numFmtId="0" fontId="10" fillId="0" borderId="0" xfId="0" applyFont="1"/>
    <xf numFmtId="0" fontId="4" fillId="4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10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49" fontId="5" fillId="0" borderId="0" xfId="0" applyNumberFormat="1" applyFont="1"/>
    <xf numFmtId="0" fontId="5" fillId="0" borderId="1" xfId="0" applyFont="1" applyBorder="1"/>
    <xf numFmtId="0" fontId="10" fillId="0" borderId="11" xfId="0" applyFont="1" applyBorder="1"/>
    <xf numFmtId="0" fontId="5" fillId="0" borderId="12" xfId="0" applyFont="1" applyBorder="1"/>
    <xf numFmtId="0" fontId="5" fillId="0" borderId="9" xfId="0" applyFont="1" applyBorder="1"/>
    <xf numFmtId="0" fontId="5" fillId="0" borderId="8" xfId="0" applyFont="1" applyBorder="1"/>
    <xf numFmtId="0" fontId="5" fillId="0" borderId="3" xfId="0" applyFont="1" applyBorder="1"/>
    <xf numFmtId="0" fontId="5" fillId="0" borderId="6" xfId="0" applyFont="1" applyBorder="1"/>
    <xf numFmtId="0" fontId="10" fillId="0" borderId="1" xfId="0" applyFont="1" applyBorder="1"/>
    <xf numFmtId="0" fontId="0" fillId="0" borderId="0" xfId="0"/>
    <xf numFmtId="0" fontId="12" fillId="4" borderId="0" xfId="0" applyFont="1" applyFill="1"/>
    <xf numFmtId="0" fontId="18" fillId="4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0" fillId="0" borderId="1" xfId="0" applyFont="1" applyBorder="1" applyAlignment="1">
      <alignment horizontal="center"/>
    </xf>
    <xf numFmtId="0" fontId="12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/>
    </xf>
    <xf numFmtId="0" fontId="8" fillId="4" borderId="3" xfId="0" applyFont="1" applyFill="1" applyBorder="1" applyAlignment="1">
      <alignment horizontal="center"/>
    </xf>
    <xf numFmtId="0" fontId="10" fillId="0" borderId="1" xfId="0" applyFont="1" applyBorder="1" applyAlignment="1">
      <alignment horizontal="center" wrapText="1"/>
    </xf>
    <xf numFmtId="0" fontId="5" fillId="0" borderId="0" xfId="0" applyFont="1" applyAlignment="1">
      <alignment horizontal="center" wrapText="1"/>
    </xf>
    <xf numFmtId="0" fontId="12" fillId="4" borderId="1" xfId="0" applyFont="1" applyFill="1" applyBorder="1" applyAlignment="1">
      <alignment horizontal="center" wrapText="1"/>
    </xf>
    <xf numFmtId="0" fontId="12" fillId="4" borderId="1" xfId="0" applyFont="1" applyFill="1" applyBorder="1" applyAlignment="1">
      <alignment horizontal="center"/>
    </xf>
    <xf numFmtId="0" fontId="13" fillId="4" borderId="0" xfId="0" applyFont="1" applyFill="1" applyAlignment="1">
      <alignment horizontal="center" wrapText="1"/>
    </xf>
    <xf numFmtId="0" fontId="10" fillId="0" borderId="0" xfId="0" applyFont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0" fillId="0" borderId="0" xfId="0" applyFont="1" applyAlignment="1">
      <alignment horizontal="center" wrapText="1"/>
    </xf>
    <xf numFmtId="0" fontId="4" fillId="4" borderId="1" xfId="0" applyFont="1" applyFill="1" applyBorder="1" applyAlignment="1">
      <alignment horizontal="center" wrapText="1"/>
    </xf>
    <xf numFmtId="0" fontId="12" fillId="4" borderId="4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5" xfId="0" applyFont="1" applyFill="1" applyBorder="1" applyAlignment="1">
      <alignment horizontal="center"/>
    </xf>
    <xf numFmtId="0" fontId="13" fillId="4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7" fillId="4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0" fillId="0" borderId="0" xfId="0" applyFont="1" applyAlignment="1">
      <alignment wrapText="1"/>
    </xf>
    <xf numFmtId="0" fontId="0" fillId="0" borderId="0" xfId="0" applyAlignment="1">
      <alignment wrapText="1"/>
    </xf>
  </cellXfs>
  <cellStyles count="3">
    <cellStyle name="Comma" xfId="1" builtinId="3"/>
    <cellStyle name="Normal" xfId="0" builtinId="0"/>
    <cellStyle name="Percent" xfId="2" builtinId="5"/>
  </cellStyles>
  <dxfs count="12"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4" formatCode="0.00%"/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613648293963256"/>
          <c:y val="0.26328484981044037"/>
          <c:w val="0.6965853018372703"/>
          <c:h val="0.53774387576552929"/>
        </c:manualLayout>
      </c:layout>
      <c:lineChart>
        <c:grouping val="standard"/>
        <c:varyColors val="0"/>
        <c:ser>
          <c:idx val="0"/>
          <c:order val="0"/>
          <c:tx>
            <c:v>Total</c:v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191754</c:v>
              </c:pt>
              <c:pt idx="1">
                <c:v>225458</c:v>
              </c:pt>
              <c:pt idx="2">
                <c:v>240893</c:v>
              </c:pt>
              <c:pt idx="3">
                <c:v>255324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109-40DC-B244-FE228A58DB42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571999"/>
        <c:axId val="136168911"/>
      </c:lineChart>
      <c:catAx>
        <c:axId val="167571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68911"/>
        <c:crosses val="autoZero"/>
        <c:auto val="1"/>
        <c:lblAlgn val="ctr"/>
        <c:lblOffset val="100"/>
        <c:noMultiLvlLbl val="0"/>
      </c:catAx>
      <c:valAx>
        <c:axId val="13616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71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17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38112</c:v>
              </c:pt>
              <c:pt idx="1">
                <c:v>42147</c:v>
              </c:pt>
              <c:pt idx="2">
                <c:v>46312</c:v>
              </c:pt>
              <c:pt idx="3">
                <c:v>48797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09B5-4F58-9F77-1E8C2EB37B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007101983"/>
        <c:axId val="136147311"/>
      </c:lineChart>
      <c:catAx>
        <c:axId val="200710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47311"/>
        <c:crosses val="autoZero"/>
        <c:auto val="1"/>
        <c:lblAlgn val="ctr"/>
        <c:lblOffset val="100"/>
        <c:noMultiLvlLbl val="0"/>
      </c:catAx>
      <c:valAx>
        <c:axId val="13614731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200710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US"/>
              <a:t>Total Assets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89438</c:v>
              </c:pt>
              <c:pt idx="1">
                <c:v>99011</c:v>
              </c:pt>
              <c:pt idx="2">
                <c:v>108741</c:v>
              </c:pt>
              <c:pt idx="3">
                <c:v>114128</c:v>
              </c:pt>
            </c:numLit>
          </c:val>
          <c:extLst>
            <c:ext xmlns:c16="http://schemas.microsoft.com/office/drawing/2014/chart" uri="{C3380CC4-5D6E-409C-BE32-E72D297353CC}">
              <c16:uniqueId val="{00000000-7924-4049-A663-80B1337CD5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7"/>
        <c:overlap val="-43"/>
        <c:axId val="167584527"/>
        <c:axId val="136200111"/>
      </c:barChart>
      <c:catAx>
        <c:axId val="1675845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0111"/>
        <c:crosses val="autoZero"/>
        <c:auto val="1"/>
        <c:lblAlgn val="ctr"/>
        <c:lblOffset val="100"/>
        <c:noMultiLvlLbl val="0"/>
      </c:catAx>
      <c:valAx>
        <c:axId val="13620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84527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5400000" scaled="0"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0.46800000000000003</c:v>
              </c:pt>
              <c:pt idx="1">
                <c:v>0.496</c:v>
              </c:pt>
              <c:pt idx="2">
                <c:v>0.54200000000000004</c:v>
              </c:pt>
              <c:pt idx="3">
                <c:v>0.58299999999999996</c:v>
              </c:pt>
            </c:numLit>
          </c:val>
          <c:extLst>
            <c:ext xmlns:c16="http://schemas.microsoft.com/office/drawing/2014/chart" uri="{C3380CC4-5D6E-409C-BE32-E72D297353CC}">
              <c16:uniqueId val="{00000000-D1D6-45B1-BF10-8E181CDB5F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55534831"/>
        <c:axId val="136176591"/>
      </c:barChart>
      <c:catAx>
        <c:axId val="55534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76591"/>
        <c:crosses val="autoZero"/>
        <c:auto val="1"/>
        <c:lblAlgn val="ctr"/>
        <c:lblOffset val="100"/>
        <c:noMultiLvlLbl val="0"/>
      </c:catAx>
      <c:valAx>
        <c:axId val="13617659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tx1">
                      <a:lumMod val="5000"/>
                      <a:lumOff val="95000"/>
                    </a:schemeClr>
                  </a:gs>
                  <a:gs pos="0">
                    <a:schemeClr val="tx1">
                      <a:lumMod val="25000"/>
                      <a:lumOff val="7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5534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cap="none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Total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0.36199999999999999</c:v>
              </c:pt>
              <c:pt idx="1">
                <c:v>0.39800000000000002</c:v>
              </c:pt>
              <c:pt idx="2">
                <c:v>0.41599999999999998</c:v>
              </c:pt>
              <c:pt idx="3">
                <c:v>0.42699999999999999</c:v>
              </c:pt>
            </c:numLit>
          </c:val>
          <c:extLst>
            <c:ext xmlns:c16="http://schemas.microsoft.com/office/drawing/2014/chart" uri="{C3380CC4-5D6E-409C-BE32-E72D297353CC}">
              <c16:uniqueId val="{00000000-884E-4445-83BA-5CD51DF20E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99"/>
        <c:axId val="144646319"/>
        <c:axId val="136199631"/>
      </c:barChart>
      <c:catAx>
        <c:axId val="144646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199631"/>
        <c:crosses val="autoZero"/>
        <c:auto val="1"/>
        <c:lblAlgn val="ctr"/>
        <c:lblOffset val="100"/>
        <c:noMultiLvlLbl val="0"/>
      </c:catAx>
      <c:valAx>
        <c:axId val="1361996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6463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2225" cap="rnd">
            <a:solidFill>
              <a:schemeClr val="accent1"/>
            </a:solidFill>
            <a:round/>
          </a:ln>
          <a:effectLst/>
        </c:spPr>
        <c:marker>
          <c:symbol val="diamond"/>
          <c:size val="6"/>
          <c:spPr>
            <a:solidFill>
              <a:schemeClr val="accent1"/>
            </a:solidFill>
            <a:ln w="9525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cat>
            <c:strLit>
              <c:ptCount val="4"/>
              <c:pt idx="0">
                <c:v>FY22</c:v>
              </c:pt>
              <c:pt idx="1">
                <c:v>FY23</c:v>
              </c:pt>
              <c:pt idx="2">
                <c:v>FY24</c:v>
              </c:pt>
              <c:pt idx="3">
                <c:v>FY25</c:v>
              </c:pt>
            </c:strLit>
          </c:cat>
          <c:val>
            <c:numLit>
              <c:formatCode>General</c:formatCode>
              <c:ptCount val="4"/>
              <c:pt idx="0">
                <c:v>3.45</c:v>
              </c:pt>
              <c:pt idx="1">
                <c:v>3.62</c:v>
              </c:pt>
              <c:pt idx="2">
                <c:v>3.81</c:v>
              </c:pt>
              <c:pt idx="3">
                <c:v>3.95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B379-4388-9D12-D3DBA9BC0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539983"/>
        <c:axId val="136202991"/>
      </c:lineChart>
      <c:catAx>
        <c:axId val="167539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6202991"/>
        <c:crosses val="autoZero"/>
        <c:auto val="1"/>
        <c:lblAlgn val="ctr"/>
        <c:lblOffset val="100"/>
        <c:noMultiLvlLbl val="0"/>
      </c:catAx>
      <c:valAx>
        <c:axId val="13620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539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8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8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722086</xdr:colOff>
      <xdr:row>7</xdr:row>
      <xdr:rowOff>224971</xdr:rowOff>
    </xdr:from>
    <xdr:ext cx="65" cy="172227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3D0EF043-CF44-6CDF-71F3-A6CF437900AA}"/>
            </a:ext>
          </a:extLst>
        </xdr:cNvPr>
        <xdr:cNvSpPr txBox="1"/>
      </xdr:nvSpPr>
      <xdr:spPr>
        <a:xfrm>
          <a:off x="6281057" y="1930400"/>
          <a:ext cx="65" cy="17222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/>
        <a:p>
          <a:endParaRPr lang="en-IN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15240</xdr:rowOff>
    </xdr:from>
    <xdr:to>
      <xdr:col>8</xdr:col>
      <xdr:colOff>579120</xdr:colOff>
      <xdr:row>17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BDCE8A-D1FF-8A83-472C-88BBCA16A9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601980</xdr:colOff>
      <xdr:row>2</xdr:row>
      <xdr:rowOff>175260</xdr:rowOff>
    </xdr:from>
    <xdr:to>
      <xdr:col>17</xdr:col>
      <xdr:colOff>236220</xdr:colOff>
      <xdr:row>17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FAA1790-BEF7-4072-076B-D72970C07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190500</xdr:colOff>
      <xdr:row>2</xdr:row>
      <xdr:rowOff>160020</xdr:rowOff>
    </xdr:from>
    <xdr:to>
      <xdr:col>24</xdr:col>
      <xdr:colOff>495300</xdr:colOff>
      <xdr:row>17</xdr:row>
      <xdr:rowOff>7620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F3D6CF1-0AD7-4611-2A6E-1D45CD8B5A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-1</xdr:rowOff>
    </xdr:from>
    <xdr:to>
      <xdr:col>8</xdr:col>
      <xdr:colOff>579120</xdr:colOff>
      <xdr:row>36</xdr:row>
      <xdr:rowOff>37628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5A7BE0E-CB5A-53FF-2828-CF82A41E1D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586740</xdr:colOff>
      <xdr:row>16</xdr:row>
      <xdr:rowOff>178364</xdr:rowOff>
    </xdr:from>
    <xdr:to>
      <xdr:col>17</xdr:col>
      <xdr:colOff>60960</xdr:colOff>
      <xdr:row>36</xdr:row>
      <xdr:rowOff>65852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D20561B-D5BF-F0A0-CB7A-BDCF47E178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38100</xdr:colOff>
      <xdr:row>16</xdr:row>
      <xdr:rowOff>106680</xdr:rowOff>
    </xdr:from>
    <xdr:to>
      <xdr:col>24</xdr:col>
      <xdr:colOff>342900</xdr:colOff>
      <xdr:row>36</xdr:row>
      <xdr:rowOff>56444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DB90A6-24D7-45A2-6591-C0BB88FD9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DE6D7D4-5EAD-433A-AC95-0178CCDC94D1}" name="Table3" displayName="Table3" ref="A1:G6" totalsRowShown="0" headerRowDxfId="11" dataDxfId="9" headerRowBorderDxfId="10" tableBorderDxfId="8" totalsRowBorderDxfId="7">
  <autoFilter ref="A1:G6" xr:uid="{7DE6D7D4-5EAD-433A-AC95-0178CCDC94D1}"/>
  <tableColumns count="7">
    <tableColumn id="1" xr3:uid="{01DACC24-28BE-4103-B158-967EEDA0BD32}" name="Year" dataDxfId="6"/>
    <tableColumn id="2" xr3:uid="{65FA8A12-8C54-45DF-8C55-F8DA3FDF31CD}" name="Revenue" dataDxfId="5"/>
    <tableColumn id="3" xr3:uid="{4A9E4D70-3DA5-4059-BC5C-C1516224EFDA}" name="PAT" dataDxfId="4"/>
    <tableColumn id="4" xr3:uid="{29FB80E1-D8BC-4FBD-9CA1-B1B8253E7F65}" name="Total Assets" dataDxfId="3"/>
    <tableColumn id="5" xr3:uid="{8328D1E1-A7B1-4B32-B17D-5045C9BDC9C4}" name="ROE" dataDxfId="2"/>
    <tableColumn id="6" xr3:uid="{4E4FC0AA-1C90-4694-8A35-F27620B5A087}" name="ROA" dataDxfId="1"/>
    <tableColumn id="7" xr3:uid="{1A4DFC9D-EB4D-4A26-B1B9-349E9E72FA1C}" name="Current Ratio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5"/>
  <sheetViews>
    <sheetView topLeftCell="A19" workbookViewId="0">
      <selection activeCell="M23" sqref="M23"/>
    </sheetView>
  </sheetViews>
  <sheetFormatPr defaultRowHeight="14.4"/>
  <cols>
    <col min="1" max="1" width="20.6640625" customWidth="1"/>
    <col min="8" max="8" width="51.33203125" customWidth="1"/>
  </cols>
  <sheetData>
    <row r="1" spans="1:8" ht="25.8">
      <c r="A1" s="54" t="s">
        <v>0</v>
      </c>
      <c r="B1" s="54"/>
      <c r="C1" s="54"/>
      <c r="D1" s="54"/>
      <c r="E1" s="54"/>
      <c r="F1" s="54"/>
      <c r="G1" s="54"/>
      <c r="H1" s="54"/>
    </row>
    <row r="2" spans="1:8" ht="21">
      <c r="A2" s="55" t="s">
        <v>1</v>
      </c>
      <c r="B2" s="55"/>
      <c r="C2" s="55"/>
      <c r="D2" s="55"/>
      <c r="E2" s="55"/>
      <c r="F2" s="55"/>
      <c r="G2" s="55"/>
      <c r="H2" s="55"/>
    </row>
    <row r="3" spans="1:8">
      <c r="A3" s="56" t="s">
        <v>2</v>
      </c>
      <c r="B3" s="56"/>
      <c r="C3" s="56"/>
      <c r="D3" s="56"/>
      <c r="E3" s="56"/>
      <c r="F3" s="56"/>
      <c r="G3" s="56"/>
      <c r="H3" s="56"/>
    </row>
    <row r="4" spans="1:8">
      <c r="A4" s="62"/>
      <c r="B4" s="62"/>
      <c r="C4" s="62"/>
      <c r="D4" s="62"/>
      <c r="E4" s="62"/>
      <c r="F4" s="62"/>
      <c r="G4" s="62"/>
      <c r="H4" s="62"/>
    </row>
    <row r="5" spans="1:8" ht="18">
      <c r="A5" s="61" t="s">
        <v>3</v>
      </c>
      <c r="B5" s="61"/>
      <c r="C5" s="61"/>
      <c r="D5" s="61"/>
      <c r="E5" s="61"/>
      <c r="F5" s="61"/>
      <c r="G5" s="61"/>
      <c r="H5" s="61"/>
    </row>
    <row r="6" spans="1:8" ht="18">
      <c r="A6" s="1" t="s">
        <v>4</v>
      </c>
      <c r="B6" s="57" t="s">
        <v>1</v>
      </c>
      <c r="C6" s="57"/>
      <c r="D6" s="57"/>
      <c r="E6" s="57"/>
      <c r="F6" s="57"/>
      <c r="G6" s="57"/>
      <c r="H6" s="57"/>
    </row>
    <row r="7" spans="1:8" ht="18">
      <c r="A7" s="1" t="s">
        <v>5</v>
      </c>
      <c r="B7" s="59" t="s">
        <v>6</v>
      </c>
      <c r="C7" s="63"/>
      <c r="D7" s="63"/>
      <c r="E7" s="63"/>
      <c r="F7" s="63"/>
      <c r="G7" s="63"/>
      <c r="H7" s="63"/>
    </row>
    <row r="8" spans="1:8" ht="18">
      <c r="A8" s="1" t="s">
        <v>7</v>
      </c>
      <c r="B8" s="57">
        <v>1968</v>
      </c>
      <c r="C8" s="57"/>
      <c r="D8" s="57"/>
      <c r="E8" s="57"/>
      <c r="F8" s="57"/>
      <c r="G8" s="57"/>
      <c r="H8" s="57"/>
    </row>
    <row r="9" spans="1:8" ht="18">
      <c r="A9" s="1" t="s">
        <v>8</v>
      </c>
      <c r="B9" s="59" t="s">
        <v>9</v>
      </c>
      <c r="C9" s="59"/>
      <c r="D9" s="59"/>
      <c r="E9" s="59"/>
      <c r="F9" s="59"/>
      <c r="G9" s="59"/>
      <c r="H9" s="59"/>
    </row>
    <row r="10" spans="1:8" ht="18">
      <c r="A10" s="1" t="s">
        <v>10</v>
      </c>
      <c r="B10" s="57" t="s">
        <v>11</v>
      </c>
      <c r="C10" s="57"/>
      <c r="D10" s="57"/>
      <c r="E10" s="57"/>
      <c r="F10" s="57"/>
      <c r="G10" s="57"/>
      <c r="H10" s="57"/>
    </row>
    <row r="11" spans="1:8" ht="18">
      <c r="A11" s="1" t="s">
        <v>12</v>
      </c>
      <c r="B11" s="59" t="s">
        <v>13</v>
      </c>
      <c r="C11" s="59"/>
      <c r="D11" s="59"/>
      <c r="E11" s="59"/>
      <c r="F11" s="59"/>
      <c r="G11" s="59"/>
      <c r="H11" s="59"/>
    </row>
    <row r="12" spans="1:8" ht="18">
      <c r="A12" s="1" t="s">
        <v>14</v>
      </c>
      <c r="B12" s="57" t="s">
        <v>15</v>
      </c>
      <c r="C12" s="57"/>
      <c r="D12" s="57"/>
      <c r="E12" s="57"/>
      <c r="F12" s="57"/>
      <c r="G12" s="57"/>
      <c r="H12" s="57"/>
    </row>
    <row r="13" spans="1:8" ht="18">
      <c r="A13" s="1" t="s">
        <v>16</v>
      </c>
      <c r="B13" s="58">
        <v>584519</v>
      </c>
      <c r="C13" s="59"/>
      <c r="D13" s="59"/>
      <c r="E13" s="59"/>
      <c r="F13" s="59"/>
      <c r="G13" s="59"/>
      <c r="H13" s="59"/>
    </row>
    <row r="14" spans="1:8" ht="18">
      <c r="A14" s="1" t="s">
        <v>17</v>
      </c>
      <c r="B14" s="57" t="s">
        <v>18</v>
      </c>
      <c r="C14" s="57"/>
      <c r="D14" s="57"/>
      <c r="E14" s="57"/>
      <c r="F14" s="57"/>
      <c r="G14" s="57"/>
      <c r="H14" s="57"/>
    </row>
    <row r="16" spans="1:8" ht="18">
      <c r="A16" s="61" t="s">
        <v>19</v>
      </c>
      <c r="B16" s="61"/>
      <c r="C16" s="61"/>
      <c r="D16" s="61"/>
      <c r="E16" s="61"/>
      <c r="F16" s="61"/>
      <c r="G16" s="61"/>
      <c r="H16" s="61"/>
    </row>
    <row r="17" spans="1:16" ht="18">
      <c r="A17" s="57" t="s">
        <v>20</v>
      </c>
      <c r="B17" s="64"/>
      <c r="C17" s="64"/>
      <c r="D17" s="64"/>
      <c r="E17" s="64"/>
      <c r="F17" s="64"/>
      <c r="G17" s="64"/>
      <c r="H17" s="64"/>
    </row>
    <row r="18" spans="1:16" ht="15">
      <c r="A18" s="65" t="s">
        <v>21</v>
      </c>
      <c r="B18" s="66"/>
      <c r="C18" s="66"/>
      <c r="D18" s="66"/>
      <c r="E18" s="66"/>
      <c r="F18" s="66"/>
      <c r="G18" s="66"/>
      <c r="H18" s="66"/>
    </row>
    <row r="19" spans="1:16" ht="18">
      <c r="A19" s="65" t="s">
        <v>22</v>
      </c>
      <c r="B19" s="65"/>
      <c r="C19" s="65"/>
      <c r="D19" s="65"/>
      <c r="E19" s="65"/>
      <c r="F19" s="65"/>
      <c r="G19" s="65"/>
      <c r="H19" s="65"/>
    </row>
    <row r="20" spans="1:16" ht="18">
      <c r="A20" s="65" t="s">
        <v>23</v>
      </c>
      <c r="B20" s="65"/>
      <c r="C20" s="65"/>
      <c r="D20" s="65"/>
      <c r="E20" s="65"/>
      <c r="F20" s="65"/>
      <c r="G20" s="65"/>
      <c r="H20" s="65"/>
    </row>
    <row r="21" spans="1:16" ht="18">
      <c r="A21" s="60" t="s">
        <v>24</v>
      </c>
      <c r="B21" s="60"/>
      <c r="C21" s="60"/>
      <c r="D21" s="60"/>
      <c r="E21" s="60"/>
      <c r="F21" s="60"/>
      <c r="G21" s="60"/>
      <c r="H21" s="60"/>
    </row>
    <row r="22" spans="1:16" ht="18">
      <c r="A22" s="65" t="s">
        <v>25</v>
      </c>
      <c r="B22" s="65"/>
      <c r="C22" s="65"/>
      <c r="D22" s="65"/>
      <c r="E22" s="65"/>
      <c r="F22" s="65"/>
      <c r="G22" s="65"/>
      <c r="H22" s="65"/>
    </row>
    <row r="24" spans="1:16" ht="21">
      <c r="A24" s="68" t="s">
        <v>26</v>
      </c>
      <c r="B24" s="68"/>
      <c r="C24" s="68"/>
      <c r="D24" s="68"/>
      <c r="E24" s="68"/>
      <c r="F24" s="68"/>
      <c r="G24" s="68"/>
      <c r="H24" s="68"/>
    </row>
    <row r="25" spans="1:16" ht="18">
      <c r="A25" s="69" t="s">
        <v>27</v>
      </c>
      <c r="B25" s="69"/>
      <c r="C25" s="69"/>
      <c r="D25" s="69"/>
      <c r="E25" s="69"/>
      <c r="F25" s="69"/>
      <c r="G25" s="69"/>
      <c r="H25" s="69"/>
      <c r="I25" s="70"/>
      <c r="J25" s="70"/>
      <c r="K25" s="70"/>
      <c r="L25" s="70"/>
      <c r="M25" s="70"/>
      <c r="N25" s="70"/>
      <c r="O25" s="70"/>
      <c r="P25" s="70"/>
    </row>
    <row r="26" spans="1:16" ht="18">
      <c r="A26" s="69" t="s">
        <v>28</v>
      </c>
      <c r="B26" s="69"/>
      <c r="C26" s="69"/>
      <c r="D26" s="69"/>
      <c r="E26" s="69"/>
      <c r="F26" s="69"/>
      <c r="G26" s="69"/>
      <c r="H26" s="69"/>
    </row>
    <row r="27" spans="1:16" ht="18">
      <c r="A27" s="3"/>
      <c r="B27" s="3"/>
      <c r="C27" s="3"/>
      <c r="D27" s="3"/>
      <c r="E27" s="3"/>
      <c r="F27" s="3"/>
      <c r="G27" s="3"/>
      <c r="H27" s="3"/>
    </row>
    <row r="29" spans="1:16" ht="21">
      <c r="A29" s="71" t="s">
        <v>29</v>
      </c>
      <c r="B29" s="72"/>
      <c r="C29" s="72"/>
      <c r="D29" s="72"/>
      <c r="E29" s="72"/>
      <c r="F29" s="72"/>
      <c r="G29" s="72"/>
      <c r="H29" s="72"/>
    </row>
    <row r="30" spans="1:16" ht="18">
      <c r="A30" s="57" t="s">
        <v>30</v>
      </c>
      <c r="B30" s="57"/>
      <c r="C30" s="57"/>
      <c r="D30" s="57"/>
      <c r="E30" s="57"/>
      <c r="F30" s="57"/>
      <c r="G30" s="57"/>
      <c r="H30" s="57"/>
    </row>
    <row r="31" spans="1:16" ht="18">
      <c r="A31" s="57" t="s">
        <v>31</v>
      </c>
      <c r="B31" s="57"/>
      <c r="C31" s="57"/>
      <c r="D31" s="57"/>
      <c r="E31" s="57"/>
      <c r="F31" s="57"/>
      <c r="G31" s="57"/>
      <c r="H31" s="57"/>
    </row>
    <row r="32" spans="1:16" ht="18">
      <c r="A32" s="57" t="s">
        <v>32</v>
      </c>
      <c r="B32" s="57"/>
      <c r="C32" s="57"/>
      <c r="D32" s="57"/>
      <c r="E32" s="57"/>
      <c r="F32" s="57"/>
      <c r="G32" s="57"/>
      <c r="H32" s="57"/>
    </row>
    <row r="33" spans="1:8" ht="18">
      <c r="A33" s="57" t="s">
        <v>33</v>
      </c>
      <c r="B33" s="57"/>
      <c r="C33" s="57"/>
      <c r="D33" s="57"/>
      <c r="E33" s="57"/>
      <c r="F33" s="57"/>
      <c r="G33" s="57"/>
      <c r="H33" s="57"/>
    </row>
    <row r="34" spans="1:8" ht="18">
      <c r="A34" s="57" t="s">
        <v>34</v>
      </c>
      <c r="B34" s="57"/>
      <c r="C34" s="57"/>
      <c r="D34" s="57"/>
      <c r="E34" s="57"/>
      <c r="F34" s="57"/>
      <c r="G34" s="57"/>
      <c r="H34" s="57"/>
    </row>
    <row r="35" spans="1:8">
      <c r="A35" s="67"/>
      <c r="B35" s="67"/>
      <c r="C35" s="67"/>
      <c r="D35" s="67"/>
      <c r="E35" s="67"/>
      <c r="F35" s="67"/>
      <c r="G35" s="67"/>
      <c r="H35" s="67"/>
    </row>
  </sheetData>
  <mergeCells count="32">
    <mergeCell ref="I25:P25"/>
    <mergeCell ref="A29:H29"/>
    <mergeCell ref="A30:H30"/>
    <mergeCell ref="A31:H31"/>
    <mergeCell ref="A32:H32"/>
    <mergeCell ref="A33:H33"/>
    <mergeCell ref="A34:H34"/>
    <mergeCell ref="A35:H35"/>
    <mergeCell ref="A22:H22"/>
    <mergeCell ref="A24:H24"/>
    <mergeCell ref="A25:H25"/>
    <mergeCell ref="A26:H26"/>
    <mergeCell ref="A21:H21"/>
    <mergeCell ref="B14:H14"/>
    <mergeCell ref="A5:H5"/>
    <mergeCell ref="A4:H4"/>
    <mergeCell ref="B6:H6"/>
    <mergeCell ref="B7:H7"/>
    <mergeCell ref="B8:H8"/>
    <mergeCell ref="B9:H9"/>
    <mergeCell ref="B10:H10"/>
    <mergeCell ref="B11:H11"/>
    <mergeCell ref="A16:H16"/>
    <mergeCell ref="A17:H17"/>
    <mergeCell ref="A18:H18"/>
    <mergeCell ref="A19:H19"/>
    <mergeCell ref="A20:H20"/>
    <mergeCell ref="A1:H1"/>
    <mergeCell ref="A2:H2"/>
    <mergeCell ref="A3:H3"/>
    <mergeCell ref="B12:H12"/>
    <mergeCell ref="B13:H1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B5AD-CCCB-4853-88C6-11391768DBE3}">
  <dimension ref="A1:Z182"/>
  <sheetViews>
    <sheetView workbookViewId="0">
      <selection activeCell="A42" sqref="A42:Y42"/>
    </sheetView>
  </sheetViews>
  <sheetFormatPr defaultRowHeight="14.4"/>
  <sheetData>
    <row r="1" spans="1:25">
      <c r="A1" s="91" t="s">
        <v>143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</row>
    <row r="2" spans="1:25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</row>
    <row r="3" spans="1:25">
      <c r="A3" s="93" t="s">
        <v>144</v>
      </c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  <c r="R3" s="67"/>
      <c r="S3" s="67"/>
      <c r="T3" s="67"/>
      <c r="U3" s="67"/>
      <c r="V3" s="67"/>
      <c r="W3" s="67"/>
      <c r="X3" s="67"/>
      <c r="Y3" s="67"/>
    </row>
    <row r="4" spans="1:25">
      <c r="A4" s="67"/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  <c r="R4" s="67"/>
      <c r="S4" s="67"/>
      <c r="T4" s="67"/>
      <c r="U4" s="67"/>
      <c r="V4" s="67"/>
      <c r="W4" s="67"/>
      <c r="X4" s="67"/>
      <c r="Y4" s="67"/>
    </row>
    <row r="6" spans="1:25" ht="18">
      <c r="A6" s="73" t="s">
        <v>145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3"/>
      <c r="P6" s="73"/>
      <c r="Q6" s="73"/>
      <c r="R6" s="73"/>
      <c r="S6" s="73"/>
      <c r="T6" s="73"/>
      <c r="U6" s="73"/>
      <c r="V6" s="73"/>
      <c r="W6" s="73"/>
      <c r="X6" s="73"/>
      <c r="Y6" s="73"/>
    </row>
    <row r="7" spans="1:25" ht="18">
      <c r="A7" s="70" t="s">
        <v>146</v>
      </c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  <c r="R7" s="70"/>
      <c r="S7" s="70"/>
      <c r="T7" s="70"/>
      <c r="U7" s="70"/>
      <c r="V7" s="70"/>
      <c r="W7" s="70"/>
      <c r="X7" s="70"/>
      <c r="Y7" s="70"/>
    </row>
    <row r="8" spans="1:25" ht="18">
      <c r="A8" s="70" t="s">
        <v>147</v>
      </c>
      <c r="B8" s="70"/>
      <c r="C8" s="70"/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/>
      <c r="X8" s="70"/>
      <c r="Y8" s="70"/>
    </row>
    <row r="9" spans="1:25" ht="18">
      <c r="A9" s="70" t="s">
        <v>148</v>
      </c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  <c r="R9" s="70"/>
      <c r="S9" s="70"/>
      <c r="T9" s="70"/>
      <c r="U9" s="70"/>
      <c r="V9" s="70"/>
      <c r="W9" s="70"/>
      <c r="X9" s="70"/>
      <c r="Y9" s="70"/>
    </row>
    <row r="10" spans="1:25" ht="18">
      <c r="A10" s="70" t="s">
        <v>149</v>
      </c>
      <c r="B10" s="70"/>
      <c r="C10" s="70"/>
      <c r="D10" s="70"/>
      <c r="E10" s="70"/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/>
      <c r="X10" s="70"/>
      <c r="Y10" s="70"/>
    </row>
    <row r="11" spans="1:25" ht="18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  <c r="R11" s="70"/>
      <c r="S11" s="70"/>
      <c r="T11" s="70"/>
      <c r="U11" s="70"/>
      <c r="V11" s="70"/>
      <c r="W11" s="70"/>
      <c r="X11" s="70"/>
      <c r="Y11" s="70"/>
    </row>
    <row r="12" spans="1:25" ht="18">
      <c r="A12" s="70" t="s">
        <v>150</v>
      </c>
      <c r="B12" s="70"/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/>
      <c r="R12" s="70"/>
      <c r="S12" s="70"/>
      <c r="T12" s="70"/>
      <c r="U12" s="70"/>
      <c r="V12" s="70"/>
      <c r="W12" s="70"/>
      <c r="X12" s="70"/>
      <c r="Y12" s="70"/>
    </row>
    <row r="13" spans="1:25" ht="18">
      <c r="A13" s="70" t="s">
        <v>151</v>
      </c>
      <c r="B13" s="70"/>
      <c r="C13" s="70"/>
      <c r="D13" s="70"/>
      <c r="E13" s="70"/>
      <c r="F13" s="70"/>
      <c r="G13" s="70"/>
      <c r="H13" s="70"/>
      <c r="I13" s="70"/>
      <c r="J13" s="70"/>
      <c r="K13" s="70"/>
      <c r="L13" s="70"/>
      <c r="M13" s="70"/>
      <c r="N13" s="70"/>
      <c r="O13" s="70"/>
      <c r="P13" s="70"/>
      <c r="Q13" s="70"/>
      <c r="R13" s="70"/>
      <c r="S13" s="70"/>
      <c r="T13" s="70"/>
      <c r="U13" s="70"/>
      <c r="V13" s="70"/>
      <c r="W13" s="70"/>
      <c r="X13" s="70"/>
      <c r="Y13" s="70"/>
    </row>
    <row r="14" spans="1:25" ht="18">
      <c r="A14" s="70" t="s">
        <v>152</v>
      </c>
      <c r="B14" s="70"/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/>
      <c r="X14" s="70"/>
      <c r="Y14" s="70"/>
    </row>
    <row r="15" spans="1:25" ht="18">
      <c r="A15" s="70" t="s">
        <v>153</v>
      </c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</row>
    <row r="16" spans="1:25" ht="18">
      <c r="A16" s="70" t="s">
        <v>154</v>
      </c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/>
      <c r="X16" s="70"/>
      <c r="Y16" s="70"/>
    </row>
    <row r="17" spans="1:25">
      <c r="A17" s="89"/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</row>
    <row r="18" spans="1:25" ht="18">
      <c r="A18" s="90" t="s">
        <v>155</v>
      </c>
      <c r="B18" s="90"/>
      <c r="C18" s="90"/>
      <c r="D18" s="90"/>
      <c r="E18" s="90"/>
      <c r="F18" s="90"/>
      <c r="G18" s="90"/>
      <c r="H18" s="90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90"/>
      <c r="V18" s="90"/>
      <c r="W18" s="90"/>
      <c r="X18" s="90"/>
      <c r="Y18" s="90"/>
    </row>
    <row r="19" spans="1:25" ht="18">
      <c r="A19" s="70" t="s">
        <v>156</v>
      </c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  <c r="W19" s="70"/>
      <c r="X19" s="70"/>
      <c r="Y19" s="70"/>
    </row>
    <row r="20" spans="1:25" ht="18">
      <c r="A20" s="70" t="s">
        <v>157</v>
      </c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/>
      <c r="X20" s="70"/>
      <c r="Y20" s="70"/>
    </row>
    <row r="21" spans="1:25" ht="18">
      <c r="A21" s="70" t="s">
        <v>158</v>
      </c>
      <c r="B21" s="70"/>
      <c r="C21" s="70"/>
      <c r="D21" s="70"/>
      <c r="E21" s="70"/>
      <c r="F21" s="70"/>
      <c r="G21" s="70"/>
      <c r="H21" s="70"/>
      <c r="I21" s="70"/>
      <c r="J21" s="70"/>
      <c r="K21" s="70"/>
      <c r="L21" s="70"/>
      <c r="M21" s="70"/>
      <c r="N21" s="70"/>
      <c r="O21" s="70"/>
      <c r="P21" s="70"/>
      <c r="Q21" s="70"/>
      <c r="R21" s="70"/>
      <c r="S21" s="70"/>
      <c r="T21" s="70"/>
      <c r="U21" s="70"/>
      <c r="V21" s="70"/>
      <c r="W21" s="70"/>
      <c r="X21" s="70"/>
      <c r="Y21" s="70"/>
    </row>
    <row r="22" spans="1:25" ht="18">
      <c r="A22" s="70" t="s">
        <v>159</v>
      </c>
      <c r="B22" s="70"/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/>
      <c r="X22" s="70"/>
      <c r="Y22" s="70"/>
    </row>
    <row r="23" spans="1:25" ht="18">
      <c r="A23" s="70"/>
      <c r="B23" s="70"/>
      <c r="C23" s="70"/>
      <c r="D23" s="70"/>
      <c r="E23" s="70"/>
      <c r="F23" s="70"/>
      <c r="G23" s="70"/>
      <c r="H23" s="70"/>
      <c r="I23" s="70"/>
      <c r="J23" s="70"/>
      <c r="K23" s="70"/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1:25" ht="18">
      <c r="A24" s="73" t="s">
        <v>160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</row>
    <row r="25" spans="1:25" ht="18">
      <c r="A25" s="70" t="s">
        <v>161</v>
      </c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1:25" ht="18">
      <c r="A26" s="74" t="s">
        <v>162</v>
      </c>
      <c r="B26" s="70"/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/>
      <c r="X26" s="70"/>
      <c r="Y26" s="70"/>
    </row>
    <row r="27" spans="1:25" ht="18">
      <c r="A27" s="70" t="s">
        <v>163</v>
      </c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0"/>
      <c r="M27" s="70"/>
      <c r="N27" s="70"/>
      <c r="O27" s="70"/>
      <c r="P27" s="70"/>
      <c r="Q27" s="70"/>
      <c r="R27" s="70"/>
      <c r="S27" s="70"/>
      <c r="T27" s="70"/>
      <c r="U27" s="70"/>
      <c r="V27" s="70"/>
      <c r="W27" s="70"/>
      <c r="X27" s="70"/>
      <c r="Y27" s="70"/>
    </row>
    <row r="28" spans="1:25" ht="18">
      <c r="A28" s="70" t="s">
        <v>164</v>
      </c>
      <c r="B28" s="70"/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/>
      <c r="X28" s="70"/>
      <c r="Y28" s="70"/>
    </row>
    <row r="29" spans="1:25" ht="18">
      <c r="A29" s="88" t="s">
        <v>165</v>
      </c>
      <c r="B29" s="81"/>
      <c r="C29" s="81"/>
      <c r="D29" s="88" t="s">
        <v>166</v>
      </c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</row>
    <row r="30" spans="1:25" ht="18">
      <c r="A30" s="69" t="s">
        <v>167</v>
      </c>
      <c r="B30" s="81"/>
      <c r="C30" s="81"/>
      <c r="D30" s="81" t="s">
        <v>168</v>
      </c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</row>
    <row r="31" spans="1:25" ht="18">
      <c r="A31" s="81" t="s">
        <v>169</v>
      </c>
      <c r="B31" s="81"/>
      <c r="C31" s="81"/>
      <c r="D31" s="81" t="s">
        <v>170</v>
      </c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</row>
    <row r="32" spans="1:25" ht="18">
      <c r="A32" s="81" t="s">
        <v>171</v>
      </c>
      <c r="B32" s="81"/>
      <c r="C32" s="81"/>
      <c r="D32" s="81" t="s">
        <v>172</v>
      </c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</row>
    <row r="33" spans="1:26" ht="18">
      <c r="A33" s="81" t="s">
        <v>173</v>
      </c>
      <c r="B33" s="81"/>
      <c r="C33" s="81"/>
      <c r="D33" s="81" t="s">
        <v>174</v>
      </c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</row>
    <row r="34" spans="1:26" ht="18">
      <c r="A34" s="81" t="s">
        <v>175</v>
      </c>
      <c r="B34" s="81"/>
      <c r="C34" s="81"/>
      <c r="D34" s="81" t="s">
        <v>176</v>
      </c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</row>
    <row r="35" spans="1:26" ht="18">
      <c r="A35" s="81" t="s">
        <v>177</v>
      </c>
      <c r="B35" s="81"/>
      <c r="C35" s="81"/>
      <c r="D35" s="81" t="s">
        <v>178</v>
      </c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</row>
    <row r="36" spans="1:26" ht="18">
      <c r="A36" s="82" t="s">
        <v>179</v>
      </c>
      <c r="B36" s="83"/>
      <c r="C36" s="83"/>
      <c r="D36" s="83"/>
      <c r="E36" s="83"/>
      <c r="F36" s="83"/>
      <c r="G36" s="83"/>
      <c r="H36" s="83"/>
      <c r="I36" s="83"/>
      <c r="J36" s="83"/>
      <c r="K36" s="83"/>
      <c r="L36" s="83"/>
      <c r="M36" s="83"/>
      <c r="N36" s="83"/>
      <c r="O36" s="83"/>
      <c r="P36" s="83"/>
      <c r="Q36" s="83"/>
      <c r="R36" s="83"/>
      <c r="S36" s="83"/>
      <c r="T36" s="83"/>
      <c r="U36" s="83"/>
      <c r="V36" s="83"/>
      <c r="W36" s="83"/>
      <c r="X36" s="83"/>
      <c r="Y36" s="84"/>
    </row>
    <row r="37" spans="1:26" ht="18">
      <c r="A37" s="85" t="s">
        <v>180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7"/>
    </row>
    <row r="38" spans="1:26" ht="18">
      <c r="A38" s="70" t="s">
        <v>181</v>
      </c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</row>
    <row r="39" spans="1:26" ht="18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</row>
    <row r="40" spans="1:26" ht="18">
      <c r="A40" s="73" t="s">
        <v>182</v>
      </c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</row>
    <row r="41" spans="1:26" ht="18">
      <c r="A41" s="74" t="s">
        <v>183</v>
      </c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</row>
    <row r="42" spans="1:26" ht="18">
      <c r="A42" s="77" t="s">
        <v>322</v>
      </c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</row>
    <row r="43" spans="1:26" ht="18">
      <c r="A43" s="70" t="s">
        <v>184</v>
      </c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</row>
    <row r="44" spans="1:26" ht="18">
      <c r="A44" s="74" t="s">
        <v>185</v>
      </c>
      <c r="B44" s="74"/>
      <c r="C44" s="74"/>
      <c r="D44" s="74"/>
      <c r="E44" s="74"/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</row>
    <row r="45" spans="1:26" ht="18">
      <c r="A45" s="70" t="s">
        <v>186</v>
      </c>
      <c r="B45" s="70"/>
      <c r="C45" s="70"/>
      <c r="D45" s="70" t="s">
        <v>187</v>
      </c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</row>
    <row r="46" spans="1:26" ht="18">
      <c r="A46" s="70">
        <v>2025</v>
      </c>
      <c r="B46" s="70"/>
      <c r="C46" s="70"/>
      <c r="D46" s="80">
        <v>37.03</v>
      </c>
      <c r="E46" s="80"/>
      <c r="F46" s="80"/>
      <c r="G46" s="80"/>
      <c r="H46" s="80"/>
      <c r="I46" s="80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  <c r="X46" s="80"/>
      <c r="Y46" s="80"/>
    </row>
    <row r="47" spans="1:26" ht="18">
      <c r="A47" s="70" t="s">
        <v>188</v>
      </c>
      <c r="B47" s="70"/>
      <c r="C47" s="70"/>
      <c r="D47" s="80">
        <v>57.13</v>
      </c>
      <c r="E47" s="80"/>
      <c r="F47" s="80"/>
      <c r="G47" s="80"/>
      <c r="H47" s="80"/>
      <c r="I47" s="80"/>
      <c r="J47" s="80"/>
      <c r="K47" s="80"/>
      <c r="L47" s="80"/>
      <c r="M47" s="80"/>
      <c r="N47" s="80"/>
      <c r="O47" s="80"/>
      <c r="P47" s="80"/>
      <c r="Q47" s="80"/>
      <c r="R47" s="80"/>
      <c r="S47" s="80"/>
      <c r="T47" s="80"/>
      <c r="U47" s="80"/>
      <c r="V47" s="80"/>
      <c r="W47" s="80"/>
      <c r="X47" s="80"/>
      <c r="Y47" s="80"/>
      <c r="Z47" s="80"/>
    </row>
    <row r="48" spans="1:26" ht="18">
      <c r="A48" s="70" t="s">
        <v>189</v>
      </c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</row>
    <row r="49" spans="1:25" ht="18">
      <c r="A49" s="74" t="s">
        <v>179</v>
      </c>
      <c r="B49" s="74"/>
      <c r="C49" s="74"/>
      <c r="D49" s="74"/>
      <c r="E49" s="74"/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</row>
    <row r="50" spans="1:25" ht="18">
      <c r="A50" s="70" t="s">
        <v>190</v>
      </c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</row>
    <row r="51" spans="1:25" ht="18">
      <c r="A51" s="70" t="s">
        <v>191</v>
      </c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</row>
    <row r="52" spans="1:25" ht="18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</row>
    <row r="53" spans="1:25" ht="18">
      <c r="A53" s="73" t="s">
        <v>192</v>
      </c>
      <c r="B53" s="73"/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</row>
    <row r="54" spans="1:25" ht="18">
      <c r="A54" s="70" t="s">
        <v>193</v>
      </c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</row>
    <row r="55" spans="1:25" ht="18">
      <c r="A55" s="74" t="s">
        <v>194</v>
      </c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</row>
    <row r="56" spans="1:25" ht="18">
      <c r="A56" s="70" t="s">
        <v>195</v>
      </c>
      <c r="B56" s="70"/>
      <c r="C56" s="70"/>
      <c r="D56" s="70" t="s">
        <v>196</v>
      </c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</row>
    <row r="57" spans="1:25" ht="18">
      <c r="A57" s="70" t="s">
        <v>197</v>
      </c>
      <c r="B57" s="70"/>
      <c r="C57" s="70"/>
      <c r="D57" s="80">
        <v>194</v>
      </c>
      <c r="E57" s="80"/>
      <c r="F57" s="80"/>
      <c r="G57" s="80"/>
      <c r="H57" s="80"/>
      <c r="I57" s="80"/>
      <c r="J57" s="80"/>
      <c r="K57" s="80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</row>
    <row r="58" spans="1:25" ht="18">
      <c r="A58" s="70" t="s">
        <v>198</v>
      </c>
      <c r="B58" s="70"/>
      <c r="C58" s="70"/>
      <c r="D58" s="80">
        <v>227</v>
      </c>
      <c r="E58" s="80"/>
      <c r="F58" s="80"/>
      <c r="G58" s="80"/>
      <c r="H58" s="80"/>
      <c r="I58" s="80"/>
      <c r="J58" s="80"/>
      <c r="K58" s="80"/>
      <c r="L58" s="80"/>
      <c r="M58" s="80"/>
      <c r="N58" s="80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</row>
    <row r="59" spans="1:25" ht="18">
      <c r="A59" s="70" t="s">
        <v>199</v>
      </c>
      <c r="B59" s="70"/>
      <c r="C59" s="70"/>
      <c r="D59" s="80">
        <v>245</v>
      </c>
      <c r="E59" s="80"/>
      <c r="F59" s="80"/>
      <c r="G59" s="80"/>
      <c r="H59" s="80"/>
      <c r="I59" s="80"/>
      <c r="J59" s="80"/>
      <c r="K59" s="80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</row>
    <row r="60" spans="1:25" ht="18">
      <c r="A60" s="70" t="s">
        <v>200</v>
      </c>
      <c r="B60" s="70"/>
      <c r="C60" s="70"/>
      <c r="D60" s="80">
        <v>254</v>
      </c>
      <c r="E60" s="80"/>
      <c r="F60" s="80"/>
      <c r="G60" s="80"/>
      <c r="H60" s="80"/>
      <c r="I60" s="80"/>
      <c r="J60" s="80"/>
      <c r="K60" s="80"/>
      <c r="L60" s="80"/>
      <c r="M60" s="80"/>
      <c r="N60" s="80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</row>
    <row r="61" spans="1:25" ht="18">
      <c r="A61" s="70" t="s">
        <v>201</v>
      </c>
      <c r="B61" s="70"/>
      <c r="C61" s="70"/>
      <c r="D61" s="80">
        <v>282.60000000000002</v>
      </c>
      <c r="E61" s="80"/>
      <c r="F61" s="80"/>
      <c r="G61" s="80"/>
      <c r="H61" s="80"/>
      <c r="I61" s="80"/>
      <c r="J61" s="80"/>
      <c r="K61" s="80"/>
      <c r="L61" s="80"/>
      <c r="M61" s="80"/>
      <c r="N61" s="80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</row>
    <row r="62" spans="1:25" ht="18">
      <c r="A62" s="74" t="s">
        <v>179</v>
      </c>
      <c r="B62" s="74"/>
      <c r="C62" s="74"/>
      <c r="D62" s="74"/>
      <c r="E62" s="74"/>
      <c r="F62" s="74"/>
      <c r="G62" s="74"/>
      <c r="H62" s="74"/>
      <c r="I62" s="74"/>
      <c r="J62" s="74"/>
      <c r="K62" s="74"/>
      <c r="L62" s="74"/>
      <c r="M62" s="74"/>
      <c r="N62" s="74"/>
      <c r="O62" s="74"/>
      <c r="P62" s="74"/>
      <c r="Q62" s="74"/>
      <c r="R62" s="74"/>
      <c r="S62" s="74"/>
      <c r="T62" s="74"/>
      <c r="U62" s="74"/>
      <c r="V62" s="74"/>
      <c r="W62" s="74"/>
      <c r="X62" s="74"/>
      <c r="Y62" s="74"/>
    </row>
    <row r="63" spans="1:25" ht="18">
      <c r="A63" s="70" t="s">
        <v>202</v>
      </c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</row>
    <row r="64" spans="1:25" ht="18">
      <c r="A64" s="70" t="s">
        <v>203</v>
      </c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</row>
    <row r="65" spans="1:25" ht="18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</row>
    <row r="66" spans="1:25" ht="18">
      <c r="A66" s="73" t="s">
        <v>204</v>
      </c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</row>
    <row r="67" spans="1:25" ht="18">
      <c r="A67" s="70" t="s">
        <v>205</v>
      </c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</row>
    <row r="68" spans="1:25" ht="18">
      <c r="A68" s="70" t="s">
        <v>206</v>
      </c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</row>
    <row r="69" spans="1:25" ht="18">
      <c r="A69" s="77" t="s">
        <v>207</v>
      </c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</row>
    <row r="70" spans="1:25" ht="18">
      <c r="A70" s="70" t="s">
        <v>208</v>
      </c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</row>
    <row r="71" spans="1:25" ht="18">
      <c r="A71" s="70" t="s">
        <v>209</v>
      </c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</row>
    <row r="72" spans="1:25" ht="18">
      <c r="A72" s="70" t="s">
        <v>210</v>
      </c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</row>
    <row r="73" spans="1:25" ht="18">
      <c r="A73" s="70" t="s">
        <v>211</v>
      </c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</row>
    <row r="74" spans="1:25" ht="18">
      <c r="A74" s="70" t="s">
        <v>212</v>
      </c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</row>
    <row r="75" spans="1:25" ht="18">
      <c r="A75" s="70" t="s">
        <v>213</v>
      </c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</row>
    <row r="76" spans="1:25" ht="18">
      <c r="A76" s="70" t="s">
        <v>214</v>
      </c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</row>
    <row r="77" spans="1:25" ht="18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</row>
    <row r="78" spans="1:25" ht="18">
      <c r="A78" s="73" t="s">
        <v>215</v>
      </c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73"/>
      <c r="S78" s="73"/>
      <c r="T78" s="73"/>
      <c r="U78" s="73"/>
      <c r="V78" s="73"/>
      <c r="W78" s="73"/>
      <c r="X78" s="73"/>
      <c r="Y78" s="73"/>
    </row>
    <row r="79" spans="1:25" ht="18">
      <c r="A79" s="70" t="s">
        <v>216</v>
      </c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</row>
    <row r="80" spans="1:25" ht="18">
      <c r="A80" s="78" t="s">
        <v>217</v>
      </c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</row>
    <row r="81" spans="1:25" ht="18">
      <c r="A81" s="70" t="s">
        <v>218</v>
      </c>
      <c r="B81" s="70"/>
      <c r="C81" s="70"/>
      <c r="D81" s="70" t="s">
        <v>219</v>
      </c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</row>
    <row r="82" spans="1:25" ht="18">
      <c r="A82" s="70" t="s">
        <v>220</v>
      </c>
      <c r="B82" s="70"/>
      <c r="C82" s="70"/>
      <c r="D82" s="70" t="s">
        <v>221</v>
      </c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</row>
    <row r="83" spans="1:25" ht="18">
      <c r="A83" s="70" t="s">
        <v>222</v>
      </c>
      <c r="B83" s="70"/>
      <c r="C83" s="70"/>
      <c r="D83" s="70" t="s">
        <v>223</v>
      </c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</row>
    <row r="84" spans="1:25" ht="18">
      <c r="A84" s="70" t="s">
        <v>224</v>
      </c>
      <c r="B84" s="70"/>
      <c r="C84" s="70"/>
      <c r="D84" s="70" t="s">
        <v>225</v>
      </c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</row>
    <row r="85" spans="1:25" ht="18">
      <c r="A85" s="70" t="s">
        <v>226</v>
      </c>
      <c r="B85" s="70"/>
      <c r="C85" s="70"/>
      <c r="D85" s="70" t="s">
        <v>227</v>
      </c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</row>
    <row r="86" spans="1:25" ht="18">
      <c r="A86" s="70" t="s">
        <v>228</v>
      </c>
      <c r="B86" s="70"/>
      <c r="C86" s="70"/>
      <c r="D86" s="70" t="s">
        <v>229</v>
      </c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</row>
    <row r="87" spans="1:25" ht="18">
      <c r="A87" s="70" t="s">
        <v>230</v>
      </c>
      <c r="B87" s="70"/>
      <c r="C87" s="70"/>
      <c r="D87" s="70" t="s">
        <v>231</v>
      </c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</row>
    <row r="88" spans="1:25" ht="1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</row>
    <row r="89" spans="1:25" ht="18">
      <c r="A89" s="73" t="s">
        <v>232</v>
      </c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</row>
    <row r="90" spans="1:25" ht="18">
      <c r="A90" s="70" t="s">
        <v>233</v>
      </c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</row>
    <row r="91" spans="1:25" ht="18">
      <c r="A91" s="77" t="s">
        <v>234</v>
      </c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</row>
    <row r="92" spans="1:25" ht="18">
      <c r="A92" s="70" t="s">
        <v>235</v>
      </c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</row>
    <row r="93" spans="1:25" ht="18">
      <c r="A93" s="70" t="s">
        <v>234</v>
      </c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</row>
    <row r="94" spans="1:25" ht="18">
      <c r="A94" s="70" t="s">
        <v>236</v>
      </c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</row>
    <row r="95" spans="1:25" ht="18">
      <c r="A95" s="70" t="s">
        <v>237</v>
      </c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</row>
    <row r="96" spans="1:25" ht="18">
      <c r="A96" s="70" t="s">
        <v>238</v>
      </c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</row>
    <row r="97" spans="1:25" ht="18">
      <c r="A97" s="70" t="s">
        <v>234</v>
      </c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</row>
    <row r="98" spans="1:25" ht="18">
      <c r="A98" s="70" t="s">
        <v>239</v>
      </c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</row>
    <row r="99" spans="1:25" ht="18">
      <c r="A99" s="70" t="s">
        <v>234</v>
      </c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</row>
    <row r="100" spans="1:25" ht="18">
      <c r="A100" s="70" t="s">
        <v>240</v>
      </c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</row>
    <row r="101" spans="1:25" ht="18">
      <c r="A101" s="70" t="s">
        <v>234</v>
      </c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</row>
    <row r="102" spans="1:25" ht="18">
      <c r="A102" s="70" t="s">
        <v>209</v>
      </c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</row>
    <row r="103" spans="1:25" ht="18">
      <c r="A103" s="70" t="s">
        <v>234</v>
      </c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</row>
    <row r="104" spans="1:25" ht="18">
      <c r="A104" s="70" t="s">
        <v>241</v>
      </c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</row>
    <row r="105" spans="1:25" ht="18">
      <c r="A105" s="70" t="s">
        <v>234</v>
      </c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</row>
    <row r="106" spans="1:25" ht="18">
      <c r="A106" s="70" t="s">
        <v>242</v>
      </c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</row>
    <row r="107" spans="1:25" ht="18">
      <c r="A107" s="70" t="s">
        <v>234</v>
      </c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</row>
    <row r="108" spans="1:25" ht="18">
      <c r="A108" s="70" t="s">
        <v>243</v>
      </c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</row>
    <row r="109" spans="1:25" ht="18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</row>
    <row r="110" spans="1:25" ht="18">
      <c r="A110" s="73" t="s">
        <v>244</v>
      </c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</row>
    <row r="111" spans="1:25" ht="18">
      <c r="A111" s="74" t="s">
        <v>245</v>
      </c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</row>
    <row r="112" spans="1:25" ht="18">
      <c r="A112" s="70" t="s">
        <v>246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</row>
    <row r="113" spans="1:25" ht="18">
      <c r="A113" s="74" t="s">
        <v>247</v>
      </c>
      <c r="B113" s="74"/>
      <c r="C113" s="74"/>
      <c r="D113" s="74"/>
      <c r="E113" s="74"/>
      <c r="F113" s="74"/>
      <c r="G113" s="74"/>
      <c r="H113" s="74"/>
      <c r="I113" s="74"/>
      <c r="J113" s="74"/>
      <c r="K113" s="74"/>
      <c r="L113" s="74"/>
      <c r="M113" s="74"/>
      <c r="N113" s="74"/>
      <c r="O113" s="74"/>
      <c r="P113" s="74"/>
      <c r="Q113" s="74"/>
      <c r="R113" s="74"/>
      <c r="S113" s="74"/>
      <c r="T113" s="74"/>
      <c r="U113" s="74"/>
      <c r="V113" s="74"/>
      <c r="W113" s="74"/>
      <c r="X113" s="74"/>
      <c r="Y113" s="74"/>
    </row>
    <row r="114" spans="1:25" ht="18">
      <c r="A114" s="70" t="s">
        <v>248</v>
      </c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</row>
    <row r="115" spans="1:25" ht="18">
      <c r="A115" s="74" t="s">
        <v>249</v>
      </c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</row>
    <row r="116" spans="1:25" ht="18">
      <c r="A116" s="70" t="s">
        <v>250</v>
      </c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</row>
    <row r="117" spans="1:25" ht="18">
      <c r="A117" s="74" t="s">
        <v>251</v>
      </c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</row>
    <row r="118" spans="1:25" ht="18">
      <c r="A118" s="70" t="s">
        <v>252</v>
      </c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</row>
    <row r="119" spans="1:25" ht="18">
      <c r="A119" s="74" t="s">
        <v>253</v>
      </c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</row>
    <row r="120" spans="1:25" ht="18">
      <c r="A120" s="70" t="s">
        <v>254</v>
      </c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</row>
    <row r="121" spans="1:25" ht="18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</row>
    <row r="122" spans="1:25" ht="18">
      <c r="A122" s="73" t="s">
        <v>255</v>
      </c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</row>
    <row r="123" spans="1:25" ht="18">
      <c r="A123" s="74" t="s">
        <v>256</v>
      </c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</row>
    <row r="124" spans="1:25" ht="18">
      <c r="A124" s="70" t="s">
        <v>257</v>
      </c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</row>
    <row r="125" spans="1:25" ht="18">
      <c r="A125" s="74" t="s">
        <v>258</v>
      </c>
      <c r="B125" s="74"/>
      <c r="C125" s="74"/>
      <c r="D125" s="74"/>
      <c r="E125" s="74"/>
      <c r="F125" s="74"/>
      <c r="G125" s="74"/>
      <c r="H125" s="74"/>
      <c r="I125" s="74"/>
      <c r="J125" s="74"/>
      <c r="K125" s="74"/>
      <c r="L125" s="74"/>
      <c r="M125" s="74"/>
      <c r="N125" s="74"/>
      <c r="O125" s="74"/>
      <c r="P125" s="74"/>
      <c r="Q125" s="74"/>
      <c r="R125" s="74"/>
      <c r="S125" s="74"/>
      <c r="T125" s="74"/>
      <c r="U125" s="74"/>
      <c r="V125" s="74"/>
      <c r="W125" s="74"/>
      <c r="X125" s="74"/>
      <c r="Y125" s="74"/>
    </row>
    <row r="126" spans="1:25" ht="18">
      <c r="A126" s="70" t="s">
        <v>259</v>
      </c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</row>
    <row r="127" spans="1:25" ht="18">
      <c r="A127" s="74" t="s">
        <v>260</v>
      </c>
      <c r="B127" s="74"/>
      <c r="C127" s="74"/>
      <c r="D127" s="74"/>
      <c r="E127" s="74"/>
      <c r="F127" s="74"/>
      <c r="G127" s="74"/>
      <c r="H127" s="74"/>
      <c r="I127" s="74"/>
      <c r="J127" s="74"/>
      <c r="K127" s="74"/>
      <c r="L127" s="74"/>
      <c r="M127" s="74"/>
      <c r="N127" s="74"/>
      <c r="O127" s="74"/>
      <c r="P127" s="74"/>
      <c r="Q127" s="74"/>
      <c r="R127" s="74"/>
      <c r="S127" s="74"/>
      <c r="T127" s="74"/>
      <c r="U127" s="74"/>
      <c r="V127" s="74"/>
      <c r="W127" s="74"/>
      <c r="X127" s="74"/>
      <c r="Y127" s="74"/>
    </row>
    <row r="128" spans="1:25" ht="18">
      <c r="A128" s="70" t="s">
        <v>261</v>
      </c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</row>
    <row r="129" spans="1:25" ht="18">
      <c r="A129" s="74" t="s">
        <v>209</v>
      </c>
      <c r="B129" s="74"/>
      <c r="C129" s="74"/>
      <c r="D129" s="74"/>
      <c r="E129" s="74"/>
      <c r="F129" s="74"/>
      <c r="G129" s="74"/>
      <c r="H129" s="74"/>
      <c r="I129" s="74"/>
      <c r="J129" s="74"/>
      <c r="K129" s="74"/>
      <c r="L129" s="74"/>
      <c r="M129" s="74"/>
      <c r="N129" s="74"/>
      <c r="O129" s="74"/>
      <c r="P129" s="74"/>
      <c r="Q129" s="74"/>
      <c r="R129" s="74"/>
      <c r="S129" s="74"/>
      <c r="T129" s="74"/>
      <c r="U129" s="74"/>
      <c r="V129" s="74"/>
      <c r="W129" s="74"/>
      <c r="X129" s="74"/>
      <c r="Y129" s="74"/>
    </row>
    <row r="130" spans="1:25" ht="18">
      <c r="A130" s="70" t="s">
        <v>262</v>
      </c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</row>
    <row r="131" spans="1:25" ht="18">
      <c r="A131" s="74" t="s">
        <v>210</v>
      </c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</row>
    <row r="132" spans="1:25" ht="18">
      <c r="A132" s="70" t="s">
        <v>263</v>
      </c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</row>
    <row r="133" spans="1:25" ht="18">
      <c r="A133" s="74" t="s">
        <v>264</v>
      </c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</row>
    <row r="134" spans="1:25" ht="18">
      <c r="A134" s="70" t="s">
        <v>265</v>
      </c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</row>
    <row r="135" spans="1:25" ht="18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</row>
    <row r="136" spans="1:25" ht="18">
      <c r="A136" s="73" t="s">
        <v>266</v>
      </c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73"/>
      <c r="S136" s="73"/>
      <c r="T136" s="73"/>
      <c r="U136" s="73"/>
      <c r="V136" s="73"/>
      <c r="W136" s="73"/>
      <c r="X136" s="73"/>
      <c r="Y136" s="73"/>
    </row>
    <row r="137" spans="1:25" ht="18">
      <c r="A137" s="74" t="s">
        <v>267</v>
      </c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</row>
    <row r="138" spans="1:25" ht="18">
      <c r="A138" s="70" t="s">
        <v>268</v>
      </c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</row>
    <row r="139" spans="1:25" ht="18">
      <c r="A139" s="74" t="s">
        <v>269</v>
      </c>
      <c r="B139" s="74"/>
      <c r="C139" s="74"/>
      <c r="D139" s="74"/>
      <c r="E139" s="74"/>
      <c r="F139" s="74"/>
      <c r="G139" s="74"/>
      <c r="H139" s="74"/>
      <c r="I139" s="74"/>
      <c r="J139" s="74"/>
      <c r="K139" s="74"/>
      <c r="L139" s="74"/>
      <c r="M139" s="74"/>
      <c r="N139" s="74"/>
      <c r="O139" s="74"/>
      <c r="P139" s="74"/>
      <c r="Q139" s="74"/>
      <c r="R139" s="74"/>
      <c r="S139" s="74"/>
      <c r="T139" s="74"/>
      <c r="U139" s="74"/>
      <c r="V139" s="74"/>
      <c r="W139" s="74"/>
      <c r="X139" s="74"/>
      <c r="Y139" s="74"/>
    </row>
    <row r="140" spans="1:25" ht="18">
      <c r="A140" s="70" t="s">
        <v>270</v>
      </c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</row>
    <row r="141" spans="1:25" ht="18">
      <c r="A141" s="74" t="s">
        <v>271</v>
      </c>
      <c r="B141" s="74"/>
      <c r="C141" s="74"/>
      <c r="D141" s="74"/>
      <c r="E141" s="74"/>
      <c r="F141" s="74"/>
      <c r="G141" s="74"/>
      <c r="H141" s="74"/>
      <c r="I141" s="74"/>
      <c r="J141" s="74"/>
      <c r="K141" s="74"/>
      <c r="L141" s="74"/>
      <c r="M141" s="74"/>
      <c r="N141" s="74"/>
      <c r="O141" s="74"/>
      <c r="P141" s="74"/>
      <c r="Q141" s="74"/>
      <c r="R141" s="74"/>
      <c r="S141" s="74"/>
      <c r="T141" s="74"/>
      <c r="U141" s="74"/>
      <c r="V141" s="74"/>
      <c r="W141" s="74"/>
      <c r="X141" s="74"/>
      <c r="Y141" s="74"/>
    </row>
    <row r="142" spans="1:25" ht="18">
      <c r="A142" s="70" t="s">
        <v>272</v>
      </c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</row>
    <row r="143" spans="1:25" ht="18">
      <c r="A143" s="74" t="s">
        <v>273</v>
      </c>
      <c r="B143" s="74"/>
      <c r="C143" s="74"/>
      <c r="D143" s="74"/>
      <c r="E143" s="74"/>
      <c r="F143" s="74"/>
      <c r="G143" s="74"/>
      <c r="H143" s="74"/>
      <c r="I143" s="74"/>
      <c r="J143" s="74"/>
      <c r="K143" s="74"/>
      <c r="L143" s="74"/>
      <c r="M143" s="74"/>
      <c r="N143" s="74"/>
      <c r="O143" s="74"/>
      <c r="P143" s="74"/>
      <c r="Q143" s="74"/>
      <c r="R143" s="74"/>
      <c r="S143" s="74"/>
      <c r="T143" s="74"/>
      <c r="U143" s="74"/>
      <c r="V143" s="74"/>
      <c r="W143" s="74"/>
      <c r="X143" s="74"/>
      <c r="Y143" s="74"/>
    </row>
    <row r="144" spans="1:25" ht="18">
      <c r="A144" s="70" t="s">
        <v>274</v>
      </c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</row>
    <row r="145" spans="1:25" ht="18">
      <c r="A145" s="74" t="s">
        <v>275</v>
      </c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</row>
    <row r="146" spans="1:25" ht="18">
      <c r="A146" s="70" t="s">
        <v>276</v>
      </c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</row>
    <row r="147" spans="1:25" ht="18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</row>
    <row r="148" spans="1:25" ht="18">
      <c r="A148" s="73" t="s">
        <v>277</v>
      </c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73"/>
      <c r="S148" s="73"/>
      <c r="T148" s="73"/>
      <c r="U148" s="73"/>
      <c r="V148" s="73"/>
      <c r="W148" s="73"/>
      <c r="X148" s="73"/>
      <c r="Y148" s="73"/>
    </row>
    <row r="149" spans="1:25" ht="18">
      <c r="A149" s="70" t="s">
        <v>278</v>
      </c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</row>
    <row r="150" spans="1:25" ht="18">
      <c r="A150" s="70" t="s">
        <v>279</v>
      </c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</row>
    <row r="151" spans="1:25" ht="18">
      <c r="A151" s="70" t="s">
        <v>280</v>
      </c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</row>
    <row r="152" spans="1:25" ht="18">
      <c r="A152" s="70" t="s">
        <v>281</v>
      </c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</row>
    <row r="153" spans="1:25" ht="18">
      <c r="A153" s="70" t="s">
        <v>282</v>
      </c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</row>
    <row r="154" spans="1:25" ht="18">
      <c r="A154" s="70" t="s">
        <v>283</v>
      </c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</row>
    <row r="155" spans="1:25" ht="18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</row>
    <row r="156" spans="1:25" ht="18">
      <c r="A156" s="73" t="s">
        <v>284</v>
      </c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73"/>
      <c r="S156" s="73"/>
      <c r="T156" s="73"/>
      <c r="U156" s="73"/>
      <c r="V156" s="73"/>
      <c r="W156" s="73"/>
      <c r="X156" s="73"/>
      <c r="Y156" s="73"/>
    </row>
    <row r="157" spans="1:25" ht="18">
      <c r="A157" s="74" t="s">
        <v>285</v>
      </c>
      <c r="B157" s="74"/>
      <c r="C157" s="74"/>
      <c r="D157" s="74" t="s">
        <v>286</v>
      </c>
      <c r="E157" s="74"/>
      <c r="F157" s="74"/>
      <c r="G157" s="74" t="s">
        <v>287</v>
      </c>
      <c r="H157" s="74"/>
      <c r="I157" s="74"/>
      <c r="J157" s="74" t="s">
        <v>288</v>
      </c>
      <c r="K157" s="74"/>
      <c r="L157" s="74"/>
      <c r="M157" s="74"/>
      <c r="N157" s="74"/>
      <c r="O157" s="74"/>
      <c r="P157" s="74"/>
      <c r="Q157" s="74"/>
      <c r="R157" s="74"/>
      <c r="S157" s="74"/>
      <c r="T157" s="74"/>
      <c r="U157" s="74"/>
      <c r="V157" s="74"/>
      <c r="W157" s="74"/>
      <c r="X157" s="74"/>
      <c r="Y157" s="74"/>
    </row>
    <row r="158" spans="1:25" ht="18">
      <c r="A158" s="70" t="s">
        <v>289</v>
      </c>
      <c r="B158" s="70"/>
      <c r="C158" s="70"/>
      <c r="D158" s="70" t="s">
        <v>290</v>
      </c>
      <c r="E158" s="70"/>
      <c r="F158" s="70"/>
      <c r="G158" s="70" t="s">
        <v>291</v>
      </c>
      <c r="H158" s="70"/>
      <c r="I158" s="70"/>
      <c r="J158" s="70" t="s">
        <v>292</v>
      </c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</row>
    <row r="159" spans="1:25" ht="18">
      <c r="A159" s="70" t="s">
        <v>293</v>
      </c>
      <c r="B159" s="70"/>
      <c r="C159" s="70"/>
      <c r="D159" s="70" t="s">
        <v>294</v>
      </c>
      <c r="E159" s="70"/>
      <c r="F159" s="70"/>
      <c r="G159" s="70" t="s">
        <v>295</v>
      </c>
      <c r="H159" s="70"/>
      <c r="I159" s="70"/>
      <c r="J159" s="70" t="s">
        <v>296</v>
      </c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</row>
    <row r="160" spans="1:25" ht="18">
      <c r="A160" s="70" t="s">
        <v>297</v>
      </c>
      <c r="B160" s="70"/>
      <c r="C160" s="70"/>
      <c r="D160" s="70" t="s">
        <v>298</v>
      </c>
      <c r="E160" s="70"/>
      <c r="F160" s="70"/>
      <c r="G160" s="70" t="s">
        <v>299</v>
      </c>
      <c r="H160" s="70"/>
      <c r="I160" s="70"/>
      <c r="J160" s="70" t="s">
        <v>300</v>
      </c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</row>
    <row r="161" spans="1:25" ht="18">
      <c r="A161" s="70" t="s">
        <v>301</v>
      </c>
      <c r="B161" s="70"/>
      <c r="C161" s="70"/>
      <c r="D161" s="70" t="s">
        <v>302</v>
      </c>
      <c r="E161" s="70"/>
      <c r="F161" s="70"/>
      <c r="G161" s="70" t="s">
        <v>303</v>
      </c>
      <c r="H161" s="70"/>
      <c r="I161" s="70"/>
      <c r="J161" s="70" t="s">
        <v>304</v>
      </c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</row>
    <row r="162" spans="1:25" ht="18">
      <c r="A162" s="70" t="s">
        <v>305</v>
      </c>
      <c r="B162" s="70"/>
      <c r="C162" s="70"/>
      <c r="D162" s="70"/>
      <c r="E162" s="70"/>
      <c r="F162" s="70"/>
      <c r="G162" s="70" t="s">
        <v>306</v>
      </c>
      <c r="H162" s="70"/>
      <c r="I162" s="70"/>
      <c r="J162" s="70" t="s">
        <v>307</v>
      </c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</row>
    <row r="163" spans="1:25" ht="18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</row>
    <row r="164" spans="1:25" ht="18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</row>
    <row r="165" spans="1:25" ht="18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</row>
    <row r="166" spans="1:25" ht="18">
      <c r="A166" s="73" t="s">
        <v>316</v>
      </c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73"/>
      <c r="S166" s="73"/>
      <c r="T166" s="73"/>
      <c r="U166" s="73"/>
      <c r="V166" s="73"/>
      <c r="W166" s="73"/>
      <c r="X166" s="73"/>
      <c r="Y166" s="73"/>
    </row>
    <row r="167" spans="1:25" ht="18">
      <c r="A167" s="70" t="s">
        <v>317</v>
      </c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</row>
    <row r="168" spans="1:25" ht="18">
      <c r="A168" s="70" t="s">
        <v>318</v>
      </c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</row>
    <row r="169" spans="1:25" ht="18">
      <c r="A169" s="70" t="s">
        <v>319</v>
      </c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</row>
    <row r="170" spans="1:25" ht="18">
      <c r="A170" s="70" t="s">
        <v>320</v>
      </c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</row>
    <row r="171" spans="1:25" ht="18">
      <c r="A171" s="70" t="s">
        <v>321</v>
      </c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</row>
    <row r="172" spans="1:25" ht="18">
      <c r="A172" s="70" t="s">
        <v>319</v>
      </c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</row>
    <row r="173" spans="1:25" ht="18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</row>
    <row r="174" spans="1:25" ht="18">
      <c r="A174" s="73" t="s">
        <v>138</v>
      </c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73"/>
      <c r="S174" s="73"/>
      <c r="T174" s="73"/>
      <c r="U174" s="73"/>
      <c r="V174" s="73"/>
      <c r="W174" s="73"/>
      <c r="X174" s="73"/>
      <c r="Y174" s="73"/>
    </row>
    <row r="175" spans="1:25" ht="18">
      <c r="A175" s="70" t="s">
        <v>308</v>
      </c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</row>
    <row r="176" spans="1:25" ht="18">
      <c r="A176" s="70" t="s">
        <v>309</v>
      </c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</row>
    <row r="177" spans="1:25" ht="18">
      <c r="A177" s="70" t="s">
        <v>310</v>
      </c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</row>
    <row r="178" spans="1:25" ht="18">
      <c r="A178" s="70" t="s">
        <v>311</v>
      </c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</row>
    <row r="179" spans="1:25" ht="18">
      <c r="A179" s="70" t="s">
        <v>312</v>
      </c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</row>
    <row r="180" spans="1:25" ht="18">
      <c r="A180" s="70" t="s">
        <v>313</v>
      </c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</row>
    <row r="181" spans="1:25" ht="18">
      <c r="A181" s="70" t="s">
        <v>314</v>
      </c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</row>
    <row r="182" spans="1:25" ht="18">
      <c r="A182" s="70" t="s">
        <v>315</v>
      </c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</row>
  </sheetData>
  <mergeCells count="242">
    <mergeCell ref="A10:Y10"/>
    <mergeCell ref="A11:Y11"/>
    <mergeCell ref="A12:Y12"/>
    <mergeCell ref="A13:Y13"/>
    <mergeCell ref="A14:Y14"/>
    <mergeCell ref="A15:Y15"/>
    <mergeCell ref="A1:Y2"/>
    <mergeCell ref="A3:Y4"/>
    <mergeCell ref="A6:Y6"/>
    <mergeCell ref="A7:Y7"/>
    <mergeCell ref="A8:Y8"/>
    <mergeCell ref="A9:Y9"/>
    <mergeCell ref="A22:Y22"/>
    <mergeCell ref="A23:Y23"/>
    <mergeCell ref="A24:Y24"/>
    <mergeCell ref="A25:Y25"/>
    <mergeCell ref="A26:Y26"/>
    <mergeCell ref="A27:Y27"/>
    <mergeCell ref="A16:Y16"/>
    <mergeCell ref="A17:Y17"/>
    <mergeCell ref="A18:Y18"/>
    <mergeCell ref="A19:Y19"/>
    <mergeCell ref="A20:Y20"/>
    <mergeCell ref="A21:Y21"/>
    <mergeCell ref="A32:C32"/>
    <mergeCell ref="D32:Y32"/>
    <mergeCell ref="A33:C33"/>
    <mergeCell ref="D33:Y33"/>
    <mergeCell ref="A34:C34"/>
    <mergeCell ref="D34:Y34"/>
    <mergeCell ref="A28:Y28"/>
    <mergeCell ref="A29:C29"/>
    <mergeCell ref="D29:Y29"/>
    <mergeCell ref="A30:C30"/>
    <mergeCell ref="D30:Y30"/>
    <mergeCell ref="A31:C31"/>
    <mergeCell ref="D31:Y31"/>
    <mergeCell ref="A40:Y40"/>
    <mergeCell ref="A41:Y41"/>
    <mergeCell ref="A42:Y42"/>
    <mergeCell ref="A43:Y43"/>
    <mergeCell ref="A44:Y44"/>
    <mergeCell ref="A45:C45"/>
    <mergeCell ref="D45:Y45"/>
    <mergeCell ref="A35:C35"/>
    <mergeCell ref="D35:Y35"/>
    <mergeCell ref="A36:Y36"/>
    <mergeCell ref="A37:Y37"/>
    <mergeCell ref="A38:Y38"/>
    <mergeCell ref="A39:Y39"/>
    <mergeCell ref="A50:Y50"/>
    <mergeCell ref="A51:Y51"/>
    <mergeCell ref="A52:Y52"/>
    <mergeCell ref="A53:Y53"/>
    <mergeCell ref="A54:Y54"/>
    <mergeCell ref="A55:Y55"/>
    <mergeCell ref="A46:C46"/>
    <mergeCell ref="D46:Y46"/>
    <mergeCell ref="A47:C47"/>
    <mergeCell ref="D47:Z47"/>
    <mergeCell ref="A48:Y48"/>
    <mergeCell ref="A49:Y49"/>
    <mergeCell ref="A59:C59"/>
    <mergeCell ref="D59:Y59"/>
    <mergeCell ref="A60:C60"/>
    <mergeCell ref="D60:Y60"/>
    <mergeCell ref="A61:C61"/>
    <mergeCell ref="D61:Y61"/>
    <mergeCell ref="A56:C56"/>
    <mergeCell ref="D56:Y56"/>
    <mergeCell ref="A57:C57"/>
    <mergeCell ref="D57:Y57"/>
    <mergeCell ref="A58:C58"/>
    <mergeCell ref="D58:Y58"/>
    <mergeCell ref="A68:Y68"/>
    <mergeCell ref="A69:Y69"/>
    <mergeCell ref="A70:Y70"/>
    <mergeCell ref="A71:Y71"/>
    <mergeCell ref="A72:Y72"/>
    <mergeCell ref="A73:Y73"/>
    <mergeCell ref="A62:Y62"/>
    <mergeCell ref="A63:Y63"/>
    <mergeCell ref="A64:Y64"/>
    <mergeCell ref="A65:Y65"/>
    <mergeCell ref="A66:Y66"/>
    <mergeCell ref="A67:Y67"/>
    <mergeCell ref="A80:Y80"/>
    <mergeCell ref="A81:C81"/>
    <mergeCell ref="D81:Y81"/>
    <mergeCell ref="A82:C82"/>
    <mergeCell ref="D82:Y82"/>
    <mergeCell ref="A83:C83"/>
    <mergeCell ref="D83:Y83"/>
    <mergeCell ref="A74:Y74"/>
    <mergeCell ref="A75:Y75"/>
    <mergeCell ref="A76:Y76"/>
    <mergeCell ref="A77:Y77"/>
    <mergeCell ref="A78:Y78"/>
    <mergeCell ref="A79:Y79"/>
    <mergeCell ref="A87:C87"/>
    <mergeCell ref="D87:Y87"/>
    <mergeCell ref="A88:Y88"/>
    <mergeCell ref="A89:Y89"/>
    <mergeCell ref="A90:Y90"/>
    <mergeCell ref="A91:Y91"/>
    <mergeCell ref="A84:C84"/>
    <mergeCell ref="D84:Y84"/>
    <mergeCell ref="A85:C85"/>
    <mergeCell ref="D85:Y85"/>
    <mergeCell ref="A86:C86"/>
    <mergeCell ref="D86:Y86"/>
    <mergeCell ref="A98:Y98"/>
    <mergeCell ref="A99:Y99"/>
    <mergeCell ref="A100:Y100"/>
    <mergeCell ref="A101:Y101"/>
    <mergeCell ref="A102:Y102"/>
    <mergeCell ref="A103:Y103"/>
    <mergeCell ref="A92:Y92"/>
    <mergeCell ref="A93:Y93"/>
    <mergeCell ref="A94:Y94"/>
    <mergeCell ref="A95:Y95"/>
    <mergeCell ref="A96:Y96"/>
    <mergeCell ref="A97:Y97"/>
    <mergeCell ref="A110:Y110"/>
    <mergeCell ref="A111:Y111"/>
    <mergeCell ref="A112:Y112"/>
    <mergeCell ref="A113:Y113"/>
    <mergeCell ref="A114:Y114"/>
    <mergeCell ref="A115:Y115"/>
    <mergeCell ref="A104:Y104"/>
    <mergeCell ref="A105:Y105"/>
    <mergeCell ref="A106:Y106"/>
    <mergeCell ref="A107:Y107"/>
    <mergeCell ref="A108:Y108"/>
    <mergeCell ref="A109:Y109"/>
    <mergeCell ref="A122:Y122"/>
    <mergeCell ref="A123:Y123"/>
    <mergeCell ref="A124:Y124"/>
    <mergeCell ref="A125:Y125"/>
    <mergeCell ref="A126:Y126"/>
    <mergeCell ref="A127:Y127"/>
    <mergeCell ref="A116:Y116"/>
    <mergeCell ref="A117:Y117"/>
    <mergeCell ref="A118:Y118"/>
    <mergeCell ref="A119:Y119"/>
    <mergeCell ref="A120:Y120"/>
    <mergeCell ref="A121:Y121"/>
    <mergeCell ref="A134:Y134"/>
    <mergeCell ref="A135:Y135"/>
    <mergeCell ref="A136:Y136"/>
    <mergeCell ref="A137:Y137"/>
    <mergeCell ref="A138:Y138"/>
    <mergeCell ref="A139:Y139"/>
    <mergeCell ref="A128:Y128"/>
    <mergeCell ref="A129:Y129"/>
    <mergeCell ref="A130:Y130"/>
    <mergeCell ref="A131:Y131"/>
    <mergeCell ref="A132:Y132"/>
    <mergeCell ref="A133:Y133"/>
    <mergeCell ref="A146:Y146"/>
    <mergeCell ref="A147:Y147"/>
    <mergeCell ref="A148:Y148"/>
    <mergeCell ref="A149:Y149"/>
    <mergeCell ref="A150:Y150"/>
    <mergeCell ref="A151:Y151"/>
    <mergeCell ref="A140:Y140"/>
    <mergeCell ref="A141:Y141"/>
    <mergeCell ref="A142:Y142"/>
    <mergeCell ref="A143:Y143"/>
    <mergeCell ref="A144:Y144"/>
    <mergeCell ref="A145:Y145"/>
    <mergeCell ref="A152:Y152"/>
    <mergeCell ref="A153:Y153"/>
    <mergeCell ref="A154:Y154"/>
    <mergeCell ref="A155:Y155"/>
    <mergeCell ref="A156:Y156"/>
    <mergeCell ref="A157:C157"/>
    <mergeCell ref="D157:F157"/>
    <mergeCell ref="G157:I157"/>
    <mergeCell ref="J157:L157"/>
    <mergeCell ref="M157:W157"/>
    <mergeCell ref="A159:C159"/>
    <mergeCell ref="D159:F159"/>
    <mergeCell ref="G159:I159"/>
    <mergeCell ref="J159:L159"/>
    <mergeCell ref="M159:W159"/>
    <mergeCell ref="X159:Y159"/>
    <mergeCell ref="X157:Y157"/>
    <mergeCell ref="A158:C158"/>
    <mergeCell ref="D158:F158"/>
    <mergeCell ref="G158:I158"/>
    <mergeCell ref="J158:L158"/>
    <mergeCell ref="M158:W158"/>
    <mergeCell ref="X158:Y158"/>
    <mergeCell ref="A161:C161"/>
    <mergeCell ref="D161:F161"/>
    <mergeCell ref="G161:I161"/>
    <mergeCell ref="J161:L161"/>
    <mergeCell ref="M161:W161"/>
    <mergeCell ref="X161:Y161"/>
    <mergeCell ref="A160:C160"/>
    <mergeCell ref="D160:F160"/>
    <mergeCell ref="G160:I160"/>
    <mergeCell ref="J160:L160"/>
    <mergeCell ref="M160:W160"/>
    <mergeCell ref="X160:Y160"/>
    <mergeCell ref="A163:C163"/>
    <mergeCell ref="D163:F163"/>
    <mergeCell ref="G163:I163"/>
    <mergeCell ref="J163:L163"/>
    <mergeCell ref="M163:W163"/>
    <mergeCell ref="X163:Y163"/>
    <mergeCell ref="A162:C162"/>
    <mergeCell ref="D162:F162"/>
    <mergeCell ref="G162:I162"/>
    <mergeCell ref="J162:L162"/>
    <mergeCell ref="M162:W162"/>
    <mergeCell ref="X162:Y162"/>
    <mergeCell ref="A165:Y165"/>
    <mergeCell ref="A166:Y166"/>
    <mergeCell ref="A167:Y167"/>
    <mergeCell ref="A168:Y168"/>
    <mergeCell ref="A169:Y169"/>
    <mergeCell ref="A170:Y170"/>
    <mergeCell ref="A164:C164"/>
    <mergeCell ref="D164:F164"/>
    <mergeCell ref="G164:I164"/>
    <mergeCell ref="J164:L164"/>
    <mergeCell ref="M164:W164"/>
    <mergeCell ref="X164:Y164"/>
    <mergeCell ref="A177:Y177"/>
    <mergeCell ref="A178:Y178"/>
    <mergeCell ref="A179:Y179"/>
    <mergeCell ref="A180:Y180"/>
    <mergeCell ref="A181:Y181"/>
    <mergeCell ref="A182:Y182"/>
    <mergeCell ref="A171:Y171"/>
    <mergeCell ref="A172:Y172"/>
    <mergeCell ref="A173:Y173"/>
    <mergeCell ref="A174:Y174"/>
    <mergeCell ref="A175:Y175"/>
    <mergeCell ref="A176:Y17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4FC57-E747-4730-8A36-3014CCC95212}">
  <dimension ref="A1:K107"/>
  <sheetViews>
    <sheetView zoomScale="89" workbookViewId="0">
      <selection activeCell="C26" sqref="C26"/>
    </sheetView>
  </sheetViews>
  <sheetFormatPr defaultRowHeight="14.4"/>
  <cols>
    <col min="1" max="1" width="11.109375" customWidth="1"/>
    <col min="2" max="2" width="50" customWidth="1"/>
    <col min="3" max="3" width="18.5546875" customWidth="1"/>
    <col min="4" max="4" width="18" customWidth="1"/>
    <col min="5" max="5" width="17.33203125" customWidth="1"/>
    <col min="6" max="6" width="23.21875" customWidth="1"/>
    <col min="8" max="8" width="16.109375" bestFit="1" customWidth="1"/>
    <col min="9" max="9" width="11.88671875" bestFit="1" customWidth="1"/>
    <col min="11" max="11" width="11.88671875" bestFit="1" customWidth="1"/>
  </cols>
  <sheetData>
    <row r="1" spans="1:11" ht="25.8">
      <c r="A1" s="98" t="s">
        <v>35</v>
      </c>
      <c r="B1" s="98"/>
      <c r="C1" s="98"/>
      <c r="D1" s="98"/>
      <c r="E1" s="98"/>
      <c r="F1" s="98"/>
      <c r="G1" s="98"/>
      <c r="H1" s="98"/>
    </row>
    <row r="2" spans="1:11">
      <c r="F2" s="10" t="s">
        <v>45</v>
      </c>
    </row>
    <row r="3" spans="1:11" ht="21">
      <c r="A3" s="99" t="s">
        <v>36</v>
      </c>
      <c r="B3" s="99"/>
      <c r="C3" s="99"/>
      <c r="D3" s="99"/>
      <c r="E3" s="99"/>
      <c r="F3" s="99"/>
      <c r="G3" s="99"/>
      <c r="H3" s="99"/>
    </row>
    <row r="4" spans="1:11" ht="18">
      <c r="A4" s="95" t="s">
        <v>37</v>
      </c>
      <c r="B4" s="95"/>
      <c r="C4" s="5" t="s">
        <v>41</v>
      </c>
      <c r="D4" s="6" t="s">
        <v>38</v>
      </c>
      <c r="E4" s="6" t="s">
        <v>39</v>
      </c>
      <c r="F4" s="6" t="s">
        <v>40</v>
      </c>
      <c r="G4" s="3"/>
      <c r="H4" s="3"/>
    </row>
    <row r="5" spans="1:11" ht="18">
      <c r="A5" s="94" t="s">
        <v>42</v>
      </c>
      <c r="B5" s="94"/>
      <c r="C5" s="8">
        <v>191754</v>
      </c>
      <c r="D5" s="8">
        <v>225458</v>
      </c>
      <c r="E5" s="8">
        <v>240893</v>
      </c>
      <c r="F5" s="8">
        <v>255324</v>
      </c>
    </row>
    <row r="6" spans="1:11" ht="18">
      <c r="A6" s="94" t="s">
        <v>43</v>
      </c>
      <c r="B6" s="94"/>
      <c r="C6" s="9">
        <v>4018</v>
      </c>
      <c r="D6" s="9">
        <v>3449</v>
      </c>
      <c r="E6" s="9">
        <v>4422</v>
      </c>
      <c r="F6" s="9">
        <v>3962</v>
      </c>
    </row>
    <row r="7" spans="1:11" ht="18">
      <c r="A7" s="73" t="s">
        <v>44</v>
      </c>
      <c r="B7" s="73"/>
      <c r="C7" s="11">
        <v>195772</v>
      </c>
      <c r="D7" s="11">
        <v>228907</v>
      </c>
      <c r="E7" s="11">
        <v>245315</v>
      </c>
      <c r="F7" s="11">
        <v>259286</v>
      </c>
      <c r="G7" s="13"/>
      <c r="K7" s="24"/>
    </row>
    <row r="8" spans="1:11" ht="18">
      <c r="A8" s="105" t="s">
        <v>46</v>
      </c>
      <c r="B8" s="94"/>
      <c r="C8" s="8"/>
      <c r="D8" s="8"/>
      <c r="E8" s="8"/>
      <c r="F8" s="8"/>
    </row>
    <row r="9" spans="1:11" ht="18">
      <c r="A9" s="94" t="s">
        <v>47</v>
      </c>
      <c r="B9" s="94"/>
      <c r="C9" s="8">
        <v>107554</v>
      </c>
      <c r="D9" s="8">
        <v>127522</v>
      </c>
      <c r="E9" s="8">
        <v>140131</v>
      </c>
      <c r="F9" s="8">
        <v>145788</v>
      </c>
    </row>
    <row r="10" spans="1:11" ht="18">
      <c r="A10" s="94" t="s">
        <v>48</v>
      </c>
      <c r="B10" s="94"/>
      <c r="C10" s="8">
        <v>784</v>
      </c>
      <c r="D10" s="8">
        <v>779</v>
      </c>
      <c r="E10" s="8">
        <v>778</v>
      </c>
      <c r="F10" s="8">
        <v>796</v>
      </c>
    </row>
    <row r="11" spans="1:11" ht="18">
      <c r="A11" s="94" t="s">
        <v>49</v>
      </c>
      <c r="B11" s="94"/>
      <c r="C11" s="8">
        <v>1163</v>
      </c>
      <c r="D11" s="8">
        <v>1881</v>
      </c>
      <c r="E11" s="8">
        <v>3702</v>
      </c>
      <c r="F11" s="8">
        <v>11648</v>
      </c>
    </row>
    <row r="12" spans="1:11" ht="18">
      <c r="A12" s="94" t="s">
        <v>50</v>
      </c>
      <c r="B12" s="94"/>
      <c r="C12" s="8">
        <v>4604</v>
      </c>
      <c r="D12" s="8">
        <v>5022</v>
      </c>
      <c r="E12" s="8">
        <v>4985</v>
      </c>
      <c r="F12" s="8">
        <v>5242</v>
      </c>
    </row>
    <row r="13" spans="1:11" ht="18">
      <c r="A13" s="94" t="s">
        <v>51</v>
      </c>
      <c r="B13" s="94"/>
      <c r="C13" s="8">
        <v>29980</v>
      </c>
      <c r="D13" s="8">
        <v>36796</v>
      </c>
      <c r="E13" s="8">
        <v>32764</v>
      </c>
      <c r="F13" s="8">
        <v>30481</v>
      </c>
    </row>
    <row r="14" spans="1:11" ht="18">
      <c r="A14" s="103" t="s">
        <v>52</v>
      </c>
      <c r="B14" s="103"/>
      <c r="C14" s="12">
        <f>SUM(C9:C13)</f>
        <v>144085</v>
      </c>
      <c r="D14" s="12">
        <f>SUM(D9:D13)</f>
        <v>172000</v>
      </c>
      <c r="E14" s="12">
        <f>SUM(E9:E13)</f>
        <v>182360</v>
      </c>
      <c r="F14" s="12">
        <f>SUM(F9:F13)</f>
        <v>193955</v>
      </c>
      <c r="G14" s="13"/>
    </row>
    <row r="15" spans="1:11" ht="18">
      <c r="A15" s="105" t="s">
        <v>53</v>
      </c>
      <c r="B15" s="105"/>
      <c r="C15" s="8">
        <v>51687</v>
      </c>
      <c r="D15" s="8">
        <v>56907</v>
      </c>
      <c r="E15" s="8">
        <v>61997</v>
      </c>
      <c r="F15" s="8">
        <v>65331</v>
      </c>
      <c r="H15" s="8"/>
    </row>
    <row r="16" spans="1:11" ht="18">
      <c r="A16" s="94" t="s">
        <v>54</v>
      </c>
      <c r="B16" s="94"/>
      <c r="C16" s="8">
        <v>13238</v>
      </c>
      <c r="D16" s="8">
        <v>14604</v>
      </c>
      <c r="E16" s="8">
        <v>15898</v>
      </c>
      <c r="F16" s="8">
        <v>16534</v>
      </c>
    </row>
    <row r="17" spans="1:6" ht="18">
      <c r="A17" s="103" t="s">
        <v>55</v>
      </c>
      <c r="B17" s="106"/>
      <c r="C17" s="12">
        <v>38449</v>
      </c>
      <c r="D17" s="12">
        <v>42303</v>
      </c>
      <c r="E17" s="12">
        <v>46099</v>
      </c>
      <c r="F17" s="12">
        <v>48797</v>
      </c>
    </row>
    <row r="18" spans="1:6" ht="18">
      <c r="A18" s="94" t="s">
        <v>56</v>
      </c>
      <c r="B18" s="94"/>
      <c r="C18" s="7">
        <v>3698832195</v>
      </c>
      <c r="D18" s="7">
        <v>3659051373</v>
      </c>
      <c r="E18" s="7">
        <v>3646851755</v>
      </c>
      <c r="F18" s="14">
        <v>3618087518</v>
      </c>
    </row>
    <row r="19" spans="1:6" ht="18">
      <c r="A19" s="103" t="s">
        <v>57</v>
      </c>
      <c r="B19" s="103"/>
      <c r="C19" s="19">
        <v>103.949</v>
      </c>
      <c r="D19" s="19">
        <v>115.61</v>
      </c>
      <c r="E19" s="19">
        <v>126.4</v>
      </c>
      <c r="F19" s="19">
        <v>134.86000000000001</v>
      </c>
    </row>
    <row r="20" spans="1:6" ht="18">
      <c r="A20" s="3"/>
      <c r="B20" s="3"/>
      <c r="C20" s="8"/>
      <c r="D20" s="8"/>
      <c r="E20" s="8"/>
      <c r="F20" t="s">
        <v>60</v>
      </c>
    </row>
    <row r="21" spans="1:6" ht="21" customHeight="1">
      <c r="A21" s="104" t="s">
        <v>58</v>
      </c>
      <c r="B21" s="104"/>
      <c r="C21" s="104"/>
      <c r="D21" s="104"/>
      <c r="E21" s="104"/>
      <c r="F21" s="104"/>
    </row>
    <row r="22" spans="1:6" ht="18">
      <c r="A22" s="100" t="s">
        <v>59</v>
      </c>
      <c r="B22" s="60"/>
      <c r="C22" s="18" t="s">
        <v>41</v>
      </c>
      <c r="D22" s="18" t="s">
        <v>38</v>
      </c>
      <c r="E22" s="18" t="s">
        <v>39</v>
      </c>
      <c r="F22" s="18" t="s">
        <v>40</v>
      </c>
    </row>
    <row r="23" spans="1:6" ht="18">
      <c r="A23" s="100" t="s">
        <v>62</v>
      </c>
      <c r="B23" s="100"/>
      <c r="C23" s="15"/>
      <c r="D23" s="15"/>
      <c r="E23" s="15"/>
      <c r="F23" s="16"/>
    </row>
    <row r="24" spans="1:6" ht="18" customHeight="1">
      <c r="A24" s="101" t="s">
        <v>66</v>
      </c>
      <c r="B24" s="101"/>
      <c r="C24" s="15">
        <v>33204</v>
      </c>
      <c r="D24" s="15">
        <v>33381</v>
      </c>
      <c r="E24" s="15">
        <v>33465</v>
      </c>
      <c r="F24" s="15">
        <v>36618</v>
      </c>
    </row>
    <row r="25" spans="1:6" ht="18" customHeight="1">
      <c r="A25" s="101" t="s">
        <v>67</v>
      </c>
      <c r="B25" s="101"/>
      <c r="C25" s="15">
        <v>108310</v>
      </c>
      <c r="D25" s="15">
        <v>110270</v>
      </c>
      <c r="E25" s="15">
        <v>112984</v>
      </c>
      <c r="F25" s="15">
        <v>123011</v>
      </c>
    </row>
    <row r="26" spans="1:6" ht="18" customHeight="1">
      <c r="A26" s="102" t="s">
        <v>61</v>
      </c>
      <c r="B26" s="102"/>
      <c r="C26" s="17">
        <f>SUM(C24:C25)</f>
        <v>141514</v>
      </c>
      <c r="D26" s="17">
        <f>SUM(D24:D25)</f>
        <v>143651</v>
      </c>
      <c r="E26" s="17">
        <f>SUM(E24:E25)</f>
        <v>146449</v>
      </c>
      <c r="F26" s="17">
        <f>SUM(F24:F25)</f>
        <v>159629</v>
      </c>
    </row>
    <row r="27" spans="1:6" ht="18" customHeight="1">
      <c r="A27" s="107" t="s">
        <v>63</v>
      </c>
      <c r="B27" s="107"/>
      <c r="C27" s="15"/>
      <c r="D27" s="15"/>
      <c r="E27" s="15"/>
      <c r="F27" s="15"/>
    </row>
    <row r="28" spans="1:6" ht="18" customHeight="1">
      <c r="A28" s="101" t="s">
        <v>68</v>
      </c>
      <c r="B28" s="101"/>
      <c r="C28" s="15">
        <v>89846</v>
      </c>
      <c r="D28" s="15">
        <v>91206</v>
      </c>
      <c r="E28" s="15">
        <v>91319</v>
      </c>
      <c r="F28" s="15">
        <v>95771</v>
      </c>
    </row>
    <row r="29" spans="1:6" ht="18" customHeight="1">
      <c r="A29" s="101" t="s">
        <v>69</v>
      </c>
      <c r="B29" s="101"/>
      <c r="C29" s="15">
        <v>9317</v>
      </c>
      <c r="D29" s="15">
        <v>8887</v>
      </c>
      <c r="E29" s="15">
        <v>9026</v>
      </c>
      <c r="F29" s="15">
        <v>10857</v>
      </c>
    </row>
    <row r="30" spans="1:6" ht="18" customHeight="1">
      <c r="A30" s="101" t="s">
        <v>70</v>
      </c>
      <c r="B30" s="101"/>
      <c r="C30" s="15">
        <v>42351</v>
      </c>
      <c r="D30" s="15">
        <v>43558</v>
      </c>
      <c r="E30" s="15">
        <v>46104</v>
      </c>
      <c r="F30" s="15">
        <v>53001</v>
      </c>
    </row>
    <row r="31" spans="1:6" ht="18" customHeight="1">
      <c r="A31" s="102" t="s">
        <v>64</v>
      </c>
      <c r="B31" s="108"/>
      <c r="C31" s="17">
        <f>SUM(C28:C30)</f>
        <v>141514</v>
      </c>
      <c r="D31" s="17">
        <f>SUM(D28:D30)</f>
        <v>143651</v>
      </c>
      <c r="E31" s="17">
        <f>SUM(E28:E30)</f>
        <v>146449</v>
      </c>
      <c r="F31" s="17">
        <f>SUM(F28:F30)</f>
        <v>159629</v>
      </c>
    </row>
    <row r="32" spans="1:6" ht="14.4" customHeight="1">
      <c r="A32" s="2"/>
      <c r="B32" s="2"/>
      <c r="C32" s="2"/>
      <c r="D32" s="2"/>
      <c r="E32" s="2"/>
      <c r="F32" s="2" t="s">
        <v>72</v>
      </c>
    </row>
    <row r="33" spans="1:9" ht="21" customHeight="1">
      <c r="A33" s="96" t="s">
        <v>65</v>
      </c>
      <c r="B33" s="97"/>
      <c r="C33" s="97"/>
      <c r="D33" s="97"/>
      <c r="E33" s="97"/>
      <c r="F33" s="97"/>
    </row>
    <row r="34" spans="1:9" ht="18" customHeight="1">
      <c r="A34" s="100" t="s">
        <v>59</v>
      </c>
      <c r="B34" s="100"/>
      <c r="C34" s="20" t="s">
        <v>41</v>
      </c>
      <c r="D34" s="20" t="s">
        <v>38</v>
      </c>
      <c r="E34" s="20" t="s">
        <v>39</v>
      </c>
      <c r="F34" s="20" t="s">
        <v>40</v>
      </c>
      <c r="I34" s="24"/>
    </row>
    <row r="35" spans="1:9" ht="18" customHeight="1">
      <c r="A35" s="60" t="s">
        <v>71</v>
      </c>
      <c r="B35" s="60"/>
      <c r="C35" s="21">
        <v>39949</v>
      </c>
      <c r="D35" s="21">
        <v>41965</v>
      </c>
      <c r="E35" s="21">
        <v>44338</v>
      </c>
      <c r="F35" s="21">
        <v>48908</v>
      </c>
    </row>
    <row r="36" spans="1:9" ht="18" customHeight="1">
      <c r="A36" s="60" t="s">
        <v>73</v>
      </c>
      <c r="B36" s="60"/>
      <c r="C36" s="21">
        <v>-897</v>
      </c>
      <c r="D36" s="21">
        <v>39</v>
      </c>
      <c r="E36" s="21">
        <v>6026</v>
      </c>
      <c r="F36" s="21">
        <v>-2318</v>
      </c>
    </row>
    <row r="37" spans="1:9" ht="18" customHeight="1">
      <c r="A37" s="60" t="s">
        <v>74</v>
      </c>
      <c r="B37" s="60"/>
      <c r="C37" s="21">
        <v>-33581</v>
      </c>
      <c r="D37" s="21">
        <v>-48878</v>
      </c>
      <c r="E37" s="21">
        <v>-48536</v>
      </c>
      <c r="F37" s="21">
        <v>-47438</v>
      </c>
    </row>
    <row r="38" spans="1:9" ht="18" customHeight="1">
      <c r="A38" s="60" t="s">
        <v>75</v>
      </c>
      <c r="B38" s="60"/>
      <c r="C38" s="21">
        <f>SUM(C35:C37)</f>
        <v>5471</v>
      </c>
      <c r="D38" s="21">
        <f>SUM(D35:D37)</f>
        <v>-6874</v>
      </c>
      <c r="E38" s="21">
        <f>SUM(E35:E37)</f>
        <v>1828</v>
      </c>
      <c r="F38" s="21">
        <f>SUM(F35:F37)</f>
        <v>-848</v>
      </c>
    </row>
    <row r="39" spans="1:9" ht="18" customHeight="1">
      <c r="A39" s="60" t="s">
        <v>76</v>
      </c>
      <c r="B39" s="60"/>
      <c r="C39" s="21">
        <v>12488</v>
      </c>
      <c r="D39" s="21">
        <v>7123</v>
      </c>
      <c r="E39" s="21">
        <v>9016</v>
      </c>
      <c r="F39" s="21">
        <v>8342</v>
      </c>
    </row>
    <row r="40" spans="1:9" ht="18" customHeight="1">
      <c r="A40" s="94"/>
      <c r="B40" s="94"/>
      <c r="C40" s="8"/>
      <c r="D40" s="8"/>
      <c r="E40" s="8"/>
      <c r="F40" s="8"/>
    </row>
    <row r="41" spans="1:9" ht="18">
      <c r="A41" s="94"/>
      <c r="B41" s="94"/>
      <c r="C41" s="8"/>
      <c r="D41" s="8"/>
      <c r="E41" s="8"/>
      <c r="F41" s="8"/>
    </row>
    <row r="42" spans="1:9" ht="18">
      <c r="A42" s="94"/>
      <c r="B42" s="94"/>
      <c r="C42" s="8"/>
      <c r="D42" s="8"/>
      <c r="E42" s="8"/>
      <c r="F42" s="8"/>
    </row>
    <row r="43" spans="1:9" ht="18">
      <c r="A43" s="94"/>
      <c r="B43" s="94"/>
      <c r="C43" s="8"/>
      <c r="D43" s="8"/>
      <c r="E43" s="8"/>
      <c r="F43" s="8"/>
    </row>
    <row r="44" spans="1:9" ht="18">
      <c r="A44" s="94"/>
      <c r="B44" s="94"/>
      <c r="C44" s="3"/>
      <c r="D44" s="3"/>
      <c r="E44" s="3"/>
      <c r="F44" s="3"/>
    </row>
    <row r="45" spans="1:9" ht="18">
      <c r="A45" s="3"/>
      <c r="B45" s="3"/>
      <c r="C45" s="3"/>
      <c r="D45" s="3"/>
      <c r="E45" s="3"/>
      <c r="F45" s="3"/>
    </row>
    <row r="46" spans="1:9" ht="18">
      <c r="A46" s="3"/>
      <c r="B46" s="3"/>
      <c r="C46" s="3"/>
      <c r="D46" s="3"/>
      <c r="E46" s="3"/>
      <c r="F46" s="3"/>
    </row>
    <row r="47" spans="1:9" ht="18">
      <c r="A47" s="3"/>
      <c r="B47" s="3"/>
      <c r="C47" s="3"/>
      <c r="D47" s="3"/>
      <c r="E47" s="3"/>
      <c r="F47" s="3"/>
    </row>
    <row r="48" spans="1:9" ht="18">
      <c r="A48" s="3"/>
      <c r="B48" s="3"/>
      <c r="C48" s="3"/>
      <c r="D48" s="3"/>
      <c r="E48" s="3"/>
      <c r="F48" s="3"/>
    </row>
    <row r="49" spans="1:6" ht="18">
      <c r="A49" s="3"/>
      <c r="B49" s="3"/>
      <c r="C49" s="3"/>
      <c r="D49" s="3"/>
      <c r="E49" s="3"/>
      <c r="F49" s="3"/>
    </row>
    <row r="50" spans="1:6" ht="18">
      <c r="A50" s="3"/>
      <c r="B50" s="3"/>
      <c r="C50" s="3"/>
      <c r="D50" s="3"/>
      <c r="E50" s="3"/>
      <c r="F50" s="3"/>
    </row>
    <row r="51" spans="1:6" ht="18">
      <c r="A51" s="3"/>
      <c r="B51" s="3"/>
      <c r="C51" s="3"/>
      <c r="D51" s="3"/>
      <c r="E51" s="3"/>
      <c r="F51" s="3"/>
    </row>
    <row r="52" spans="1:6" ht="18">
      <c r="A52" s="3"/>
      <c r="B52" s="3"/>
      <c r="C52" s="3"/>
      <c r="D52" s="3"/>
      <c r="E52" s="3"/>
      <c r="F52" s="3"/>
    </row>
    <row r="53" spans="1:6" ht="18">
      <c r="A53" s="3"/>
      <c r="B53" s="3"/>
      <c r="C53" s="3"/>
      <c r="D53" s="3"/>
      <c r="E53" s="3"/>
      <c r="F53" s="3"/>
    </row>
    <row r="54" spans="1:6" ht="18">
      <c r="A54" s="3"/>
      <c r="B54" s="3"/>
      <c r="C54" s="3"/>
      <c r="D54" s="3"/>
      <c r="E54" s="3"/>
      <c r="F54" s="3"/>
    </row>
    <row r="55" spans="1:6" ht="18">
      <c r="A55" s="3"/>
      <c r="B55" s="3"/>
      <c r="C55" s="3"/>
      <c r="D55" s="3"/>
      <c r="E55" s="3"/>
      <c r="F55" s="3"/>
    </row>
    <row r="56" spans="1:6" ht="18">
      <c r="A56" s="3"/>
      <c r="B56" s="3"/>
      <c r="C56" s="3"/>
      <c r="D56" s="3"/>
      <c r="E56" s="3"/>
    </row>
    <row r="57" spans="1:6" ht="18">
      <c r="A57" s="3"/>
      <c r="B57" s="3"/>
      <c r="C57" s="3"/>
      <c r="D57" s="3"/>
      <c r="E57" s="3"/>
    </row>
    <row r="58" spans="1:6" ht="18">
      <c r="A58" s="3"/>
      <c r="B58" s="3"/>
      <c r="C58" s="3"/>
      <c r="D58" s="3"/>
      <c r="E58" s="3"/>
    </row>
    <row r="59" spans="1:6" ht="18">
      <c r="A59" s="3"/>
      <c r="B59" s="3"/>
      <c r="C59" s="3"/>
      <c r="D59" s="3"/>
      <c r="E59" s="3"/>
    </row>
    <row r="60" spans="1:6" ht="18">
      <c r="A60" s="3"/>
      <c r="B60" s="3"/>
      <c r="C60" s="3"/>
      <c r="D60" s="3"/>
      <c r="E60" s="3"/>
    </row>
    <row r="61" spans="1:6" ht="18">
      <c r="A61" s="3"/>
      <c r="B61" s="3"/>
      <c r="C61" s="3"/>
      <c r="D61" s="3"/>
      <c r="E61" s="3"/>
    </row>
    <row r="62" spans="1:6" ht="18">
      <c r="A62" s="3"/>
      <c r="B62" s="3"/>
      <c r="C62" s="3"/>
      <c r="D62" s="3"/>
      <c r="E62" s="3"/>
    </row>
    <row r="63" spans="1:6" ht="18">
      <c r="A63" s="3"/>
      <c r="B63" s="3"/>
      <c r="C63" s="3"/>
      <c r="D63" s="3"/>
      <c r="E63" s="3"/>
    </row>
    <row r="64" spans="1:6" ht="18">
      <c r="A64" s="3"/>
      <c r="B64" s="3"/>
      <c r="C64" s="3"/>
      <c r="D64" s="3"/>
      <c r="E64" s="3"/>
    </row>
    <row r="65" spans="1:5" ht="18">
      <c r="A65" s="3"/>
      <c r="B65" s="3"/>
      <c r="C65" s="3"/>
      <c r="D65" s="3"/>
      <c r="E65" s="3"/>
    </row>
    <row r="66" spans="1:5" ht="18">
      <c r="A66" s="3"/>
      <c r="B66" s="3"/>
      <c r="C66" s="3"/>
      <c r="D66" s="3"/>
      <c r="E66" s="3"/>
    </row>
    <row r="67" spans="1:5" ht="18">
      <c r="A67" s="3"/>
      <c r="B67" s="3"/>
      <c r="C67" s="3"/>
      <c r="D67" s="3"/>
      <c r="E67" s="3"/>
    </row>
    <row r="68" spans="1:5" ht="18">
      <c r="A68" s="3"/>
      <c r="B68" s="3"/>
      <c r="C68" s="3"/>
      <c r="D68" s="3"/>
      <c r="E68" s="3"/>
    </row>
    <row r="69" spans="1:5" ht="18">
      <c r="A69" s="3"/>
      <c r="B69" s="3"/>
      <c r="C69" s="3"/>
      <c r="D69" s="3"/>
      <c r="E69" s="3"/>
    </row>
    <row r="70" spans="1:5" ht="18">
      <c r="A70" s="3"/>
      <c r="B70" s="3"/>
      <c r="C70" s="3"/>
      <c r="D70" s="3"/>
      <c r="E70" s="3"/>
    </row>
    <row r="71" spans="1:5" ht="18">
      <c r="A71" s="3"/>
      <c r="B71" s="3"/>
      <c r="C71" s="3"/>
      <c r="D71" s="3"/>
      <c r="E71" s="3"/>
    </row>
    <row r="72" spans="1:5" ht="18">
      <c r="A72" s="3"/>
      <c r="B72" s="3"/>
      <c r="C72" s="3"/>
      <c r="D72" s="3"/>
      <c r="E72" s="3"/>
    </row>
    <row r="73" spans="1:5" ht="18">
      <c r="A73" s="3"/>
      <c r="B73" s="3"/>
      <c r="C73" s="3"/>
      <c r="D73" s="3"/>
      <c r="E73" s="3"/>
    </row>
    <row r="74" spans="1:5" ht="18">
      <c r="A74" s="3"/>
      <c r="B74" s="3"/>
      <c r="C74" s="3"/>
      <c r="D74" s="3"/>
      <c r="E74" s="3"/>
    </row>
    <row r="75" spans="1:5" ht="18">
      <c r="A75" s="3"/>
      <c r="B75" s="3"/>
      <c r="C75" s="3"/>
      <c r="D75" s="3"/>
      <c r="E75" s="3"/>
    </row>
    <row r="76" spans="1:5" ht="18">
      <c r="A76" s="3"/>
      <c r="B76" s="3"/>
      <c r="C76" s="3"/>
      <c r="D76" s="3"/>
      <c r="E76" s="3"/>
    </row>
    <row r="77" spans="1:5" ht="18">
      <c r="A77" s="3"/>
      <c r="B77" s="3"/>
      <c r="C77" s="3"/>
      <c r="D77" s="3"/>
      <c r="E77" s="3"/>
    </row>
    <row r="78" spans="1:5" ht="18">
      <c r="A78" s="3"/>
      <c r="B78" s="3"/>
      <c r="C78" s="3"/>
      <c r="D78" s="3"/>
      <c r="E78" s="3"/>
    </row>
    <row r="79" spans="1:5" ht="18">
      <c r="A79" s="3"/>
      <c r="B79" s="3"/>
      <c r="C79" s="3"/>
      <c r="D79" s="3"/>
      <c r="E79" s="3"/>
    </row>
    <row r="80" spans="1:5" ht="18">
      <c r="A80" s="3"/>
      <c r="B80" s="3"/>
      <c r="C80" s="3"/>
      <c r="D80" s="3"/>
      <c r="E80" s="3"/>
    </row>
    <row r="81" spans="1:5" ht="18">
      <c r="A81" s="3"/>
      <c r="B81" s="3"/>
      <c r="C81" s="3"/>
      <c r="D81" s="3"/>
      <c r="E81" s="3"/>
    </row>
    <row r="82" spans="1:5" ht="18">
      <c r="A82" s="3"/>
      <c r="B82" s="3"/>
      <c r="C82" s="3"/>
      <c r="D82" s="3"/>
      <c r="E82" s="3"/>
    </row>
    <row r="83" spans="1:5" ht="18">
      <c r="A83" s="3"/>
      <c r="B83" s="3"/>
      <c r="C83" s="3"/>
      <c r="D83" s="3"/>
      <c r="E83" s="3"/>
    </row>
    <row r="84" spans="1:5" ht="18">
      <c r="A84" s="3"/>
      <c r="B84" s="3"/>
      <c r="C84" s="3"/>
      <c r="D84" s="3"/>
      <c r="E84" s="3"/>
    </row>
    <row r="85" spans="1:5" ht="18">
      <c r="A85" s="3"/>
      <c r="B85" s="3"/>
      <c r="C85" s="3"/>
      <c r="D85" s="3"/>
      <c r="E85" s="3"/>
    </row>
    <row r="86" spans="1:5" ht="18">
      <c r="A86" s="3"/>
      <c r="B86" s="3"/>
      <c r="C86" s="3"/>
      <c r="D86" s="3"/>
      <c r="E86" s="3"/>
    </row>
    <row r="87" spans="1:5" ht="18">
      <c r="A87" s="3"/>
      <c r="B87" s="3"/>
      <c r="C87" s="3"/>
      <c r="D87" s="3"/>
      <c r="E87" s="3"/>
    </row>
    <row r="88" spans="1:5" ht="18">
      <c r="A88" s="3"/>
      <c r="B88" s="3"/>
      <c r="C88" s="3"/>
      <c r="D88" s="3"/>
      <c r="E88" s="3"/>
    </row>
    <row r="89" spans="1:5" ht="18">
      <c r="A89" s="3"/>
      <c r="B89" s="3"/>
      <c r="C89" s="3"/>
      <c r="D89" s="3"/>
      <c r="E89" s="3"/>
    </row>
    <row r="90" spans="1:5" ht="18">
      <c r="A90" s="3"/>
      <c r="B90" s="3"/>
      <c r="C90" s="3"/>
      <c r="D90" s="3"/>
      <c r="E90" s="3"/>
    </row>
    <row r="91" spans="1:5" ht="18">
      <c r="A91" s="3"/>
      <c r="B91" s="3"/>
      <c r="C91" s="3"/>
      <c r="D91" s="3"/>
      <c r="E91" s="3"/>
    </row>
    <row r="92" spans="1:5" ht="18">
      <c r="A92" s="3"/>
      <c r="B92" s="3"/>
      <c r="C92" s="3"/>
      <c r="D92" s="3"/>
      <c r="E92" s="3"/>
    </row>
    <row r="93" spans="1:5" ht="18">
      <c r="A93" s="3"/>
      <c r="B93" s="3"/>
      <c r="C93" s="3"/>
      <c r="D93" s="3"/>
      <c r="E93" s="3"/>
    </row>
    <row r="94" spans="1:5" ht="18">
      <c r="A94" s="3"/>
      <c r="B94" s="3"/>
      <c r="C94" s="3"/>
      <c r="D94" s="3"/>
      <c r="E94" s="3"/>
    </row>
    <row r="95" spans="1:5" ht="18">
      <c r="A95" s="3"/>
      <c r="B95" s="3"/>
      <c r="C95" s="3"/>
      <c r="D95" s="3"/>
      <c r="E95" s="3"/>
    </row>
    <row r="96" spans="1:5" ht="18">
      <c r="A96" s="3"/>
      <c r="B96" s="3"/>
      <c r="C96" s="3"/>
      <c r="D96" s="3"/>
      <c r="E96" s="3"/>
    </row>
    <row r="97" spans="1:5" ht="18">
      <c r="A97" s="3"/>
      <c r="B97" s="3"/>
      <c r="C97" s="3"/>
      <c r="D97" s="3"/>
      <c r="E97" s="3"/>
    </row>
    <row r="98" spans="1:5" ht="18">
      <c r="A98" s="3"/>
      <c r="B98" s="3"/>
      <c r="C98" s="3"/>
      <c r="D98" s="3"/>
      <c r="E98" s="3"/>
    </row>
    <row r="99" spans="1:5" ht="18">
      <c r="A99" s="3"/>
      <c r="B99" s="3"/>
      <c r="C99" s="3"/>
      <c r="D99" s="3"/>
      <c r="E99" s="3"/>
    </row>
    <row r="100" spans="1:5" ht="18">
      <c r="A100" s="3"/>
      <c r="B100" s="3"/>
      <c r="C100" s="3"/>
      <c r="D100" s="3"/>
      <c r="E100" s="3"/>
    </row>
    <row r="101" spans="1:5" ht="18">
      <c r="A101" s="3"/>
      <c r="B101" s="3"/>
      <c r="C101" s="3"/>
      <c r="D101" s="3"/>
      <c r="E101" s="3"/>
    </row>
    <row r="102" spans="1:5" ht="18">
      <c r="A102" s="3"/>
      <c r="B102" s="3"/>
      <c r="C102" s="3"/>
      <c r="D102" s="3"/>
      <c r="E102" s="3"/>
    </row>
    <row r="103" spans="1:5" ht="18">
      <c r="A103" s="3"/>
      <c r="B103" s="3"/>
      <c r="C103" s="3"/>
      <c r="D103" s="3"/>
      <c r="E103" s="3"/>
    </row>
    <row r="104" spans="1:5" ht="18">
      <c r="A104" s="3"/>
      <c r="B104" s="3"/>
      <c r="C104" s="3"/>
      <c r="D104" s="3"/>
      <c r="E104" s="3"/>
    </row>
    <row r="105" spans="1:5" ht="18">
      <c r="A105" s="3"/>
      <c r="B105" s="3"/>
      <c r="C105" s="3"/>
      <c r="D105" s="3"/>
      <c r="E105" s="3"/>
    </row>
    <row r="106" spans="1:5" ht="18">
      <c r="A106" s="3"/>
      <c r="B106" s="3"/>
      <c r="C106" s="3"/>
      <c r="D106" s="3"/>
      <c r="E106" s="3"/>
    </row>
    <row r="107" spans="1:5" ht="18">
      <c r="A107" s="3"/>
      <c r="B107" s="3"/>
      <c r="C107" s="3"/>
      <c r="D107" s="3"/>
      <c r="E107" s="3"/>
    </row>
  </sheetData>
  <mergeCells count="41">
    <mergeCell ref="A38:B38"/>
    <mergeCell ref="A27:B27"/>
    <mergeCell ref="A28:B28"/>
    <mergeCell ref="A29:B29"/>
    <mergeCell ref="A30:B30"/>
    <mergeCell ref="A31:B31"/>
    <mergeCell ref="A34:B34"/>
    <mergeCell ref="A35:B35"/>
    <mergeCell ref="A36:B36"/>
    <mergeCell ref="A37:B37"/>
    <mergeCell ref="A21:F21"/>
    <mergeCell ref="A22:B22"/>
    <mergeCell ref="A8:B8"/>
    <mergeCell ref="A9:B9"/>
    <mergeCell ref="A10:B10"/>
    <mergeCell ref="A16:B16"/>
    <mergeCell ref="A19:B19"/>
    <mergeCell ref="A17:B17"/>
    <mergeCell ref="A18:B18"/>
    <mergeCell ref="A15:B15"/>
    <mergeCell ref="A4:B4"/>
    <mergeCell ref="A44:B44"/>
    <mergeCell ref="A33:F33"/>
    <mergeCell ref="A1:H1"/>
    <mergeCell ref="A3:H3"/>
    <mergeCell ref="A5:B5"/>
    <mergeCell ref="A6:B6"/>
    <mergeCell ref="A7:B7"/>
    <mergeCell ref="A23:B23"/>
    <mergeCell ref="A24:B24"/>
    <mergeCell ref="A25:B25"/>
    <mergeCell ref="A26:B26"/>
    <mergeCell ref="A11:B11"/>
    <mergeCell ref="A12:B12"/>
    <mergeCell ref="A13:B13"/>
    <mergeCell ref="A14:B14"/>
    <mergeCell ref="A39:B39"/>
    <mergeCell ref="A40:B40"/>
    <mergeCell ref="A41:B41"/>
    <mergeCell ref="A42:B42"/>
    <mergeCell ref="A43:B4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4B600C-40B5-4991-8449-1E79A2204D77}">
  <dimension ref="A1:K38"/>
  <sheetViews>
    <sheetView topLeftCell="A6" zoomScale="94" workbookViewId="0">
      <selection activeCell="P9" sqref="P9"/>
    </sheetView>
  </sheetViews>
  <sheetFormatPr defaultRowHeight="18"/>
  <cols>
    <col min="1" max="1" width="8.88671875" style="3"/>
    <col min="2" max="2" width="24.44140625" style="3" customWidth="1"/>
    <col min="3" max="3" width="14.5546875" style="3" customWidth="1"/>
    <col min="4" max="4" width="14.44140625" style="3" customWidth="1"/>
    <col min="5" max="5" width="15.21875" style="3" customWidth="1"/>
    <col min="6" max="6" width="18.33203125" style="3" customWidth="1"/>
    <col min="7" max="16384" width="8.88671875" style="3"/>
  </cols>
  <sheetData>
    <row r="1" spans="1:11" ht="21">
      <c r="A1" s="112" t="s">
        <v>77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</row>
    <row r="3" spans="1:11">
      <c r="A3" s="76" t="s">
        <v>82</v>
      </c>
      <c r="B3" s="76"/>
      <c r="C3" s="76"/>
      <c r="D3" s="76"/>
      <c r="E3" s="76"/>
      <c r="F3" s="76"/>
      <c r="G3" s="76"/>
      <c r="H3" s="76"/>
      <c r="I3" s="76"/>
      <c r="J3" s="76"/>
      <c r="K3" s="76"/>
    </row>
    <row r="4" spans="1:11">
      <c r="A4" s="95" t="s">
        <v>37</v>
      </c>
      <c r="B4" s="95"/>
      <c r="C4" s="6" t="s">
        <v>41</v>
      </c>
      <c r="D4" s="6" t="s">
        <v>38</v>
      </c>
      <c r="E4" s="6" t="s">
        <v>39</v>
      </c>
      <c r="F4" s="6" t="s">
        <v>40</v>
      </c>
    </row>
    <row r="5" spans="1:11">
      <c r="A5" s="113" t="s">
        <v>78</v>
      </c>
      <c r="B5" s="113"/>
      <c r="C5" s="25">
        <v>0.26400000000000001</v>
      </c>
      <c r="D5" s="25">
        <v>0.24859999999999999</v>
      </c>
      <c r="E5" s="25">
        <v>0.25659999999999999</v>
      </c>
      <c r="F5" s="25">
        <v>0.25190000000000001</v>
      </c>
    </row>
    <row r="6" spans="1:11">
      <c r="A6" s="113" t="s">
        <v>79</v>
      </c>
      <c r="B6" s="113"/>
      <c r="C6" s="25">
        <v>0.20050000000000001</v>
      </c>
      <c r="D6" s="25">
        <v>0.18759999999999999</v>
      </c>
      <c r="E6" s="25">
        <v>0.1913</v>
      </c>
      <c r="F6" s="25">
        <v>0.19109999999999999</v>
      </c>
    </row>
    <row r="7" spans="1:11">
      <c r="A7" s="113" t="s">
        <v>80</v>
      </c>
      <c r="B7" s="113"/>
      <c r="C7" s="25">
        <v>0.28239999999999998</v>
      </c>
      <c r="D7" s="25">
        <v>0.29659999999999997</v>
      </c>
      <c r="E7" s="25">
        <v>0.31780000000000003</v>
      </c>
      <c r="F7" s="25">
        <v>0.31879999999999997</v>
      </c>
    </row>
    <row r="8" spans="1:11">
      <c r="A8" s="113" t="s">
        <v>81</v>
      </c>
      <c r="B8" s="113"/>
      <c r="C8" s="25">
        <v>0.43469999999999998</v>
      </c>
      <c r="D8" s="25">
        <v>0.46729999999999999</v>
      </c>
      <c r="E8" s="25">
        <v>0.50509999999999999</v>
      </c>
      <c r="F8" s="25">
        <v>0.52159999999999995</v>
      </c>
    </row>
    <row r="9" spans="1:11">
      <c r="A9" s="94"/>
      <c r="B9" s="94"/>
    </row>
    <row r="10" spans="1:11">
      <c r="A10" s="73" t="s">
        <v>83</v>
      </c>
      <c r="B10" s="75"/>
      <c r="C10" s="75"/>
      <c r="D10" s="75"/>
      <c r="E10" s="75"/>
      <c r="F10" s="75"/>
      <c r="G10" s="75"/>
      <c r="H10" s="75"/>
      <c r="I10" s="75"/>
      <c r="J10" s="75"/>
      <c r="K10" s="75"/>
    </row>
    <row r="11" spans="1:11">
      <c r="A11" s="100" t="s">
        <v>37</v>
      </c>
      <c r="B11" s="60"/>
      <c r="C11" s="20" t="s">
        <v>41</v>
      </c>
      <c r="D11" s="23" t="s">
        <v>38</v>
      </c>
      <c r="E11" s="23" t="s">
        <v>39</v>
      </c>
      <c r="F11" s="20" t="s">
        <v>40</v>
      </c>
    </row>
    <row r="12" spans="1:11">
      <c r="A12" s="60" t="s">
        <v>84</v>
      </c>
      <c r="B12" s="60"/>
      <c r="C12" s="22">
        <v>2.5569999999999999</v>
      </c>
      <c r="D12" s="22">
        <v>2.5299999999999998</v>
      </c>
      <c r="E12" s="22">
        <v>2.4500000000000002</v>
      </c>
      <c r="F12" s="22">
        <v>2.3199999999999998</v>
      </c>
    </row>
    <row r="13" spans="1:11">
      <c r="A13" s="60" t="s">
        <v>85</v>
      </c>
      <c r="B13" s="60"/>
      <c r="C13" s="22">
        <v>0.29399999999999998</v>
      </c>
      <c r="D13" s="22">
        <v>0.16300000000000001</v>
      </c>
      <c r="E13" s="22">
        <v>0.19500000000000001</v>
      </c>
      <c r="F13" s="22">
        <v>0.157</v>
      </c>
    </row>
    <row r="14" spans="1:11">
      <c r="A14" s="60" t="s">
        <v>86</v>
      </c>
      <c r="B14" s="60"/>
      <c r="C14" s="22">
        <v>2.556</v>
      </c>
      <c r="D14" s="22">
        <v>2.5299999999999998</v>
      </c>
      <c r="E14" s="22">
        <v>2.4500000000000002</v>
      </c>
      <c r="F14" s="22">
        <v>2.3199999999999998</v>
      </c>
    </row>
    <row r="15" spans="1:11">
      <c r="A15" s="94"/>
      <c r="B15" s="94"/>
    </row>
    <row r="16" spans="1:11">
      <c r="A16" s="109" t="s">
        <v>87</v>
      </c>
      <c r="B16" s="110"/>
      <c r="C16" s="110"/>
      <c r="D16" s="110"/>
      <c r="E16" s="110"/>
      <c r="F16" s="110"/>
      <c r="G16" s="110"/>
      <c r="H16" s="110"/>
      <c r="I16" s="110"/>
      <c r="J16" s="110"/>
      <c r="K16" s="111"/>
    </row>
    <row r="17" spans="1:11">
      <c r="A17" s="100" t="s">
        <v>37</v>
      </c>
      <c r="B17" s="100"/>
      <c r="C17" s="20" t="s">
        <v>41</v>
      </c>
      <c r="D17" s="20" t="s">
        <v>38</v>
      </c>
      <c r="E17" s="20" t="s">
        <v>39</v>
      </c>
      <c r="F17" s="20" t="s">
        <v>40</v>
      </c>
    </row>
    <row r="18" spans="1:11">
      <c r="A18" s="60" t="s">
        <v>88</v>
      </c>
      <c r="B18" s="60"/>
      <c r="C18" s="22">
        <v>1.4</v>
      </c>
      <c r="D18" s="22">
        <v>1.5</v>
      </c>
      <c r="E18" s="22">
        <v>1.6</v>
      </c>
      <c r="F18" s="22">
        <v>1.6</v>
      </c>
    </row>
    <row r="19" spans="1:11">
      <c r="A19" s="60" t="s">
        <v>89</v>
      </c>
      <c r="B19" s="60"/>
      <c r="C19" s="22">
        <v>4.8</v>
      </c>
      <c r="D19" s="22">
        <v>10.6</v>
      </c>
      <c r="E19" s="22">
        <v>981.2</v>
      </c>
      <c r="F19" s="22">
        <v>1877.3</v>
      </c>
    </row>
    <row r="20" spans="1:11">
      <c r="A20" s="60" t="s">
        <v>90</v>
      </c>
      <c r="B20" s="60"/>
      <c r="C20" s="22">
        <v>2.9</v>
      </c>
      <c r="D20" s="22">
        <v>3.3</v>
      </c>
      <c r="E20" s="22">
        <v>3.6</v>
      </c>
      <c r="F20" s="22">
        <v>3.7</v>
      </c>
    </row>
    <row r="21" spans="1:11">
      <c r="A21" s="94"/>
      <c r="B21" s="94"/>
    </row>
    <row r="22" spans="1:11">
      <c r="A22" s="73" t="s">
        <v>91</v>
      </c>
      <c r="B22" s="75"/>
      <c r="C22" s="75"/>
      <c r="D22" s="75"/>
      <c r="E22" s="75"/>
      <c r="F22" s="75"/>
      <c r="G22" s="75"/>
      <c r="H22" s="75"/>
      <c r="I22" s="75"/>
      <c r="J22" s="75"/>
      <c r="K22" s="75"/>
    </row>
    <row r="23" spans="1:11">
      <c r="A23" s="100" t="s">
        <v>59</v>
      </c>
      <c r="B23" s="60"/>
      <c r="C23" s="20" t="s">
        <v>41</v>
      </c>
      <c r="D23" s="20" t="s">
        <v>38</v>
      </c>
      <c r="E23" s="20" t="s">
        <v>39</v>
      </c>
      <c r="F23" s="20" t="s">
        <v>40</v>
      </c>
    </row>
    <row r="24" spans="1:11">
      <c r="A24" s="60" t="s">
        <v>92</v>
      </c>
      <c r="B24" s="60"/>
      <c r="C24" s="22">
        <v>0.09</v>
      </c>
      <c r="D24" s="22">
        <v>0.09</v>
      </c>
      <c r="E24" s="22">
        <v>0.09</v>
      </c>
      <c r="F24" s="22">
        <v>0.1</v>
      </c>
    </row>
    <row r="25" spans="1:11">
      <c r="A25" s="60" t="s">
        <v>93</v>
      </c>
      <c r="B25" s="60"/>
      <c r="C25" s="22">
        <v>0.05</v>
      </c>
      <c r="D25" s="22">
        <v>0.05</v>
      </c>
      <c r="E25" s="22">
        <v>0.05</v>
      </c>
      <c r="F25" s="22">
        <v>0.05</v>
      </c>
    </row>
    <row r="26" spans="1:11">
      <c r="A26" s="94"/>
      <c r="B26" s="94"/>
    </row>
    <row r="27" spans="1:11">
      <c r="A27" s="73" t="s">
        <v>94</v>
      </c>
      <c r="B27" s="75"/>
      <c r="C27" s="75"/>
      <c r="D27" s="75"/>
      <c r="E27" s="75"/>
      <c r="F27" s="75"/>
      <c r="G27" s="75"/>
      <c r="H27" s="75"/>
      <c r="I27" s="75"/>
      <c r="J27" s="75"/>
      <c r="K27" s="75"/>
    </row>
    <row r="28" spans="1:11">
      <c r="A28" s="100" t="s">
        <v>37</v>
      </c>
      <c r="B28" s="100"/>
      <c r="C28" s="20" t="s">
        <v>41</v>
      </c>
      <c r="D28" s="20" t="s">
        <v>38</v>
      </c>
      <c r="E28" s="20" t="s">
        <v>39</v>
      </c>
      <c r="F28" s="20" t="s">
        <v>40</v>
      </c>
    </row>
    <row r="29" spans="1:11">
      <c r="A29" s="60" t="s">
        <v>95</v>
      </c>
      <c r="B29" s="60"/>
      <c r="C29" s="26">
        <v>103.949</v>
      </c>
      <c r="D29" s="26">
        <v>115.61</v>
      </c>
      <c r="E29" s="26">
        <v>126.4</v>
      </c>
      <c r="F29" s="26">
        <v>134.86000000000001</v>
      </c>
    </row>
    <row r="30" spans="1:11">
      <c r="A30" s="60" t="s">
        <v>96</v>
      </c>
      <c r="B30" s="60"/>
      <c r="C30" s="22">
        <v>35.9</v>
      </c>
      <c r="D30" s="28">
        <v>27.5</v>
      </c>
      <c r="E30" s="22">
        <v>30.45</v>
      </c>
      <c r="F30" s="22">
        <v>27.07</v>
      </c>
    </row>
    <row r="31" spans="1:11">
      <c r="A31" s="94"/>
      <c r="B31" s="94"/>
    </row>
    <row r="32" spans="1:11">
      <c r="A32" s="70"/>
      <c r="B32" s="70"/>
    </row>
    <row r="33" spans="1:2">
      <c r="A33" s="70"/>
      <c r="B33" s="70"/>
    </row>
    <row r="34" spans="1:2">
      <c r="A34" s="70"/>
      <c r="B34" s="70"/>
    </row>
    <row r="35" spans="1:2">
      <c r="A35" s="70"/>
      <c r="B35" s="70"/>
    </row>
    <row r="36" spans="1:2">
      <c r="A36" s="70"/>
      <c r="B36" s="70"/>
    </row>
    <row r="37" spans="1:2">
      <c r="A37" s="70"/>
      <c r="B37" s="70"/>
    </row>
    <row r="38" spans="1:2">
      <c r="A38" s="70"/>
      <c r="B38" s="70"/>
    </row>
  </sheetData>
  <mergeCells count="37">
    <mergeCell ref="A12:B12"/>
    <mergeCell ref="A13:B13"/>
    <mergeCell ref="A14:B14"/>
    <mergeCell ref="A15:B15"/>
    <mergeCell ref="A7:B7"/>
    <mergeCell ref="A8:B8"/>
    <mergeCell ref="A9:B9"/>
    <mergeCell ref="A10:K10"/>
    <mergeCell ref="A11:B11"/>
    <mergeCell ref="A1:K1"/>
    <mergeCell ref="A3:K3"/>
    <mergeCell ref="A4:B4"/>
    <mergeCell ref="A5:B5"/>
    <mergeCell ref="A6:B6"/>
    <mergeCell ref="A28:B28"/>
    <mergeCell ref="A29:B29"/>
    <mergeCell ref="A27:K27"/>
    <mergeCell ref="A16:K16"/>
    <mergeCell ref="A22:K22"/>
    <mergeCell ref="A17:B17"/>
    <mergeCell ref="A18:B18"/>
    <mergeCell ref="A19:B19"/>
    <mergeCell ref="A20:B20"/>
    <mergeCell ref="A21:B21"/>
    <mergeCell ref="A23:B23"/>
    <mergeCell ref="A24:B24"/>
    <mergeCell ref="A25:B25"/>
    <mergeCell ref="A26:B26"/>
    <mergeCell ref="A35:B35"/>
    <mergeCell ref="A36:B36"/>
    <mergeCell ref="A37:B37"/>
    <mergeCell ref="A38:B38"/>
    <mergeCell ref="A30:B30"/>
    <mergeCell ref="A31:B31"/>
    <mergeCell ref="A32:B32"/>
    <mergeCell ref="A33:B33"/>
    <mergeCell ref="A34:B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750B-ED6F-4D4A-81CC-297A0253A268}">
  <dimension ref="A1:N38"/>
  <sheetViews>
    <sheetView workbookViewId="0">
      <selection activeCell="G9" sqref="G9"/>
    </sheetView>
  </sheetViews>
  <sheetFormatPr defaultRowHeight="14.4"/>
  <cols>
    <col min="2" max="2" width="33.44140625" customWidth="1"/>
    <col min="3" max="4" width="18.33203125" customWidth="1"/>
    <col min="5" max="5" width="16" customWidth="1"/>
    <col min="6" max="6" width="16.77734375" customWidth="1"/>
    <col min="7" max="7" width="21.5546875" customWidth="1"/>
    <col min="8" max="8" width="21.33203125" customWidth="1"/>
    <col min="9" max="9" width="20.88671875" customWidth="1"/>
    <col min="10" max="10" width="25.109375" customWidth="1"/>
  </cols>
  <sheetData>
    <row r="1" spans="1:13">
      <c r="A1" s="92" t="s">
        <v>97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</row>
    <row r="2" spans="1:13">
      <c r="A2" s="114"/>
      <c r="B2" s="114"/>
      <c r="C2" s="114"/>
      <c r="D2" s="114"/>
      <c r="E2" s="114"/>
      <c r="F2" s="114"/>
      <c r="G2" s="114"/>
      <c r="H2" s="114"/>
      <c r="I2" s="114"/>
      <c r="J2" s="114"/>
      <c r="K2" s="114"/>
      <c r="L2" s="114"/>
      <c r="M2" s="114"/>
    </row>
    <row r="3" spans="1:13" ht="18">
      <c r="A3" s="100" t="s">
        <v>59</v>
      </c>
      <c r="B3" s="100"/>
      <c r="C3" s="20" t="s">
        <v>41</v>
      </c>
      <c r="D3" s="20" t="s">
        <v>38</v>
      </c>
      <c r="E3" s="20" t="s">
        <v>39</v>
      </c>
      <c r="F3" s="20" t="s">
        <v>40</v>
      </c>
      <c r="G3" s="20" t="s">
        <v>98</v>
      </c>
      <c r="H3" s="20" t="s">
        <v>99</v>
      </c>
      <c r="I3" s="20" t="s">
        <v>100</v>
      </c>
      <c r="J3" s="20" t="s">
        <v>101</v>
      </c>
      <c r="K3" s="4"/>
      <c r="L3" s="4"/>
      <c r="M3" s="4"/>
    </row>
    <row r="4" spans="1:13" ht="18">
      <c r="A4" s="69" t="s">
        <v>102</v>
      </c>
      <c r="B4" s="69"/>
      <c r="C4" s="21">
        <v>191754</v>
      </c>
      <c r="D4" s="21">
        <v>225458</v>
      </c>
      <c r="E4" s="21">
        <v>240893</v>
      </c>
      <c r="F4" s="21">
        <v>255324</v>
      </c>
      <c r="G4" s="37">
        <v>0.17580000000000001</v>
      </c>
      <c r="H4" s="37">
        <v>6.8500000000000005E-2</v>
      </c>
      <c r="I4" s="37">
        <v>5.5899999999999998E-2</v>
      </c>
      <c r="J4" s="22" t="s">
        <v>112</v>
      </c>
      <c r="K4" s="32"/>
      <c r="L4" s="3"/>
      <c r="M4" s="3"/>
    </row>
    <row r="5" spans="1:13" ht="18">
      <c r="A5" s="69" t="s">
        <v>103</v>
      </c>
      <c r="B5" s="69"/>
      <c r="C5" s="38">
        <v>195772</v>
      </c>
      <c r="D5" s="38">
        <v>228907</v>
      </c>
      <c r="E5" s="38">
        <v>245315</v>
      </c>
      <c r="F5" s="38">
        <v>259286</v>
      </c>
      <c r="G5" s="36">
        <v>0.16919999999999999</v>
      </c>
      <c r="H5" s="36">
        <v>7.17E-2</v>
      </c>
      <c r="I5" s="36">
        <v>5.6899999999999999E-2</v>
      </c>
      <c r="J5" s="22" t="s">
        <v>112</v>
      </c>
      <c r="K5" s="32"/>
      <c r="L5" s="3"/>
      <c r="M5" s="3"/>
    </row>
    <row r="6" spans="1:13" ht="18">
      <c r="A6" s="69" t="s">
        <v>104</v>
      </c>
      <c r="B6" s="69"/>
      <c r="C6" s="21">
        <v>51687</v>
      </c>
      <c r="D6" s="21">
        <v>56907</v>
      </c>
      <c r="E6" s="21">
        <v>61997</v>
      </c>
      <c r="F6" s="21">
        <v>65331</v>
      </c>
      <c r="G6" s="36">
        <v>0.10100000000000001</v>
      </c>
      <c r="H6" s="36">
        <v>8.9399999999999993E-2</v>
      </c>
      <c r="I6" s="36">
        <v>5.3800000000000001E-2</v>
      </c>
      <c r="J6" s="27" t="s">
        <v>113</v>
      </c>
      <c r="K6" s="32"/>
      <c r="L6" s="3"/>
      <c r="M6" s="3"/>
    </row>
    <row r="7" spans="1:13" ht="18">
      <c r="A7" s="69" t="s">
        <v>105</v>
      </c>
      <c r="B7" s="69"/>
      <c r="C7" s="38">
        <v>38449</v>
      </c>
      <c r="D7" s="38">
        <v>42303</v>
      </c>
      <c r="E7" s="38">
        <v>46099</v>
      </c>
      <c r="F7" s="38">
        <v>48797</v>
      </c>
      <c r="G7" s="36">
        <v>0.1002</v>
      </c>
      <c r="H7" s="36">
        <v>8.9700000000000002E-2</v>
      </c>
      <c r="I7" s="36">
        <v>5.8500000000000003E-2</v>
      </c>
      <c r="J7" s="27" t="s">
        <v>113</v>
      </c>
      <c r="K7" s="32"/>
      <c r="L7" s="3"/>
      <c r="M7" s="3"/>
    </row>
    <row r="8" spans="1:13" ht="18">
      <c r="A8" s="69" t="s">
        <v>106</v>
      </c>
      <c r="B8" s="69"/>
      <c r="C8" s="30">
        <v>141514</v>
      </c>
      <c r="D8" s="30">
        <v>143651</v>
      </c>
      <c r="E8" s="30">
        <v>146449</v>
      </c>
      <c r="F8" s="30">
        <v>159629</v>
      </c>
      <c r="G8" s="36">
        <v>0.1007</v>
      </c>
      <c r="H8" s="36">
        <v>8.9599999999999999E-2</v>
      </c>
      <c r="I8" s="36">
        <v>5.5800000000000002E-2</v>
      </c>
      <c r="J8" s="27" t="s">
        <v>113</v>
      </c>
      <c r="K8" s="32"/>
      <c r="L8" s="3"/>
      <c r="M8" s="3"/>
    </row>
    <row r="9" spans="1:13" ht="18">
      <c r="A9" s="69" t="s">
        <v>107</v>
      </c>
      <c r="B9" s="69"/>
      <c r="C9" s="30">
        <v>51668</v>
      </c>
      <c r="D9" s="30">
        <v>52445</v>
      </c>
      <c r="E9" s="30">
        <v>55130</v>
      </c>
      <c r="F9" s="30">
        <v>63858</v>
      </c>
      <c r="G9" s="36">
        <v>0.1007</v>
      </c>
      <c r="H9" s="36">
        <v>8.9599999999999999E-2</v>
      </c>
      <c r="I9" s="36">
        <v>5.5800000000000002E-2</v>
      </c>
      <c r="J9" s="27" t="s">
        <v>113</v>
      </c>
      <c r="K9" s="32"/>
      <c r="L9" s="3"/>
      <c r="M9" s="3"/>
    </row>
    <row r="10" spans="1:13" ht="18">
      <c r="A10" s="69" t="s">
        <v>108</v>
      </c>
      <c r="B10" s="69"/>
      <c r="C10" s="21">
        <v>39949</v>
      </c>
      <c r="D10" s="21">
        <v>41965</v>
      </c>
      <c r="E10" s="21">
        <v>44338</v>
      </c>
      <c r="F10" s="21">
        <v>48908</v>
      </c>
      <c r="G10" s="36">
        <v>5.0500000000000003E-2</v>
      </c>
      <c r="H10" s="36">
        <v>5.6500000000000002E-2</v>
      </c>
      <c r="I10" s="36">
        <v>0.1031</v>
      </c>
      <c r="J10" s="22" t="s">
        <v>114</v>
      </c>
      <c r="K10" s="32"/>
      <c r="L10" s="3"/>
      <c r="M10" s="3"/>
    </row>
    <row r="11" spans="1:13" ht="18">
      <c r="A11" s="69" t="s">
        <v>109</v>
      </c>
      <c r="B11" s="69"/>
      <c r="C11" s="21">
        <v>5471</v>
      </c>
      <c r="D11" s="21">
        <v>-6874</v>
      </c>
      <c r="E11" s="21">
        <v>1828</v>
      </c>
      <c r="F11" s="21">
        <v>-848</v>
      </c>
      <c r="G11" s="36">
        <v>9.4200000000000006E-2</v>
      </c>
      <c r="H11" s="36">
        <v>8.5500000000000007E-2</v>
      </c>
      <c r="I11" s="36">
        <v>6.1499999999999999E-2</v>
      </c>
      <c r="J11" s="22" t="s">
        <v>114</v>
      </c>
      <c r="K11" s="32"/>
      <c r="L11" s="3"/>
      <c r="M11" s="3"/>
    </row>
    <row r="12" spans="1:13" ht="18">
      <c r="A12" s="69" t="s">
        <v>110</v>
      </c>
      <c r="B12" s="69"/>
      <c r="C12" s="21">
        <v>12488</v>
      </c>
      <c r="D12" s="21">
        <v>7123</v>
      </c>
      <c r="E12" s="21">
        <v>9016</v>
      </c>
      <c r="F12" s="21">
        <v>8342</v>
      </c>
      <c r="G12" s="36">
        <v>-0.42959999999999998</v>
      </c>
      <c r="H12" s="36">
        <v>0.26579999999999998</v>
      </c>
      <c r="I12" s="36">
        <v>-7.4800000000000005E-2</v>
      </c>
      <c r="J12" s="27" t="s">
        <v>115</v>
      </c>
      <c r="K12" s="32"/>
      <c r="L12" s="3"/>
      <c r="M12" s="3"/>
    </row>
    <row r="13" spans="1:13" ht="18">
      <c r="A13" s="69" t="s">
        <v>111</v>
      </c>
      <c r="B13" s="69"/>
      <c r="C13" s="39">
        <v>103.949</v>
      </c>
      <c r="D13" s="39">
        <v>115.61</v>
      </c>
      <c r="E13" s="39">
        <v>126.4</v>
      </c>
      <c r="F13" s="39">
        <v>134.86000000000001</v>
      </c>
      <c r="G13" s="36">
        <v>0.11219999999999999</v>
      </c>
      <c r="H13" s="36">
        <v>9.3299999999999994E-2</v>
      </c>
      <c r="I13" s="36">
        <v>6.6900000000000001E-2</v>
      </c>
      <c r="J13" s="22" t="s">
        <v>112</v>
      </c>
      <c r="K13" s="32"/>
      <c r="L13" s="3"/>
      <c r="M13" s="3"/>
    </row>
    <row r="14" spans="1:13" ht="18">
      <c r="A14" s="70"/>
      <c r="B14" s="70"/>
      <c r="C14" s="3"/>
      <c r="D14" s="3"/>
      <c r="E14" s="3"/>
      <c r="F14" s="3"/>
      <c r="G14" s="31"/>
      <c r="H14" s="32"/>
      <c r="I14" s="32"/>
      <c r="J14" s="32"/>
      <c r="K14" s="32"/>
      <c r="L14" s="3"/>
      <c r="M14" s="3"/>
    </row>
    <row r="15" spans="1:13" ht="18">
      <c r="A15" s="70"/>
      <c r="B15" s="70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ht="18">
      <c r="A16" s="70"/>
      <c r="B16" s="70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4" ht="18">
      <c r="A17" s="70"/>
      <c r="B17" s="70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4" ht="18">
      <c r="A18" s="70"/>
      <c r="B18" s="70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4" ht="18">
      <c r="A19" s="70"/>
      <c r="B19" s="70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14" ht="18">
      <c r="A20" s="70"/>
      <c r="B20" s="70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1:14" ht="18">
      <c r="A21" s="70"/>
      <c r="B21" s="70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4" ht="18">
      <c r="A22" s="70"/>
      <c r="B22" s="70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4">
      <c r="A23" s="89"/>
      <c r="B23" s="89"/>
    </row>
    <row r="24" spans="1:14">
      <c r="A24" s="89"/>
      <c r="B24" s="89"/>
    </row>
    <row r="25" spans="1:14">
      <c r="A25" s="89"/>
      <c r="B25" s="89"/>
    </row>
    <row r="30" spans="1:14">
      <c r="G30" s="33"/>
    </row>
    <row r="31" spans="1:14">
      <c r="G31" s="33"/>
      <c r="H31" s="33"/>
      <c r="I31" s="33"/>
    </row>
    <row r="32" spans="1:14">
      <c r="G32" s="34"/>
      <c r="H32" s="35"/>
      <c r="I32" s="35"/>
      <c r="J32" s="35"/>
      <c r="K32" s="35"/>
      <c r="L32" s="33"/>
      <c r="M32" s="33"/>
      <c r="N32" s="33"/>
    </row>
    <row r="33" spans="7:14">
      <c r="G33" s="34"/>
      <c r="H33" s="35"/>
      <c r="I33" s="35"/>
      <c r="J33" s="35"/>
      <c r="K33" s="35"/>
      <c r="L33" s="33"/>
      <c r="M33" s="33"/>
      <c r="N33" s="33"/>
    </row>
    <row r="34" spans="7:14">
      <c r="G34" s="34"/>
      <c r="H34" s="35"/>
      <c r="I34" s="35"/>
      <c r="J34" s="35"/>
      <c r="K34" s="35"/>
      <c r="L34" s="33"/>
      <c r="M34" s="33"/>
      <c r="N34" s="33"/>
    </row>
    <row r="35" spans="7:14">
      <c r="G35" s="34"/>
      <c r="H35" s="35"/>
      <c r="I35" s="35"/>
      <c r="J35" s="35"/>
      <c r="K35" s="35"/>
      <c r="L35" s="33"/>
      <c r="M35" s="33"/>
      <c r="N35" s="33"/>
    </row>
    <row r="36" spans="7:14">
      <c r="G36" s="34"/>
      <c r="H36" s="35"/>
      <c r="I36" s="35"/>
      <c r="J36" s="35"/>
      <c r="K36" s="35"/>
      <c r="L36" s="33"/>
      <c r="M36" s="33"/>
      <c r="N36" s="33"/>
    </row>
    <row r="37" spans="7:14">
      <c r="G37" s="34"/>
      <c r="H37" s="35"/>
      <c r="I37" s="35"/>
      <c r="J37" s="35"/>
      <c r="K37" s="35"/>
      <c r="L37" s="33"/>
      <c r="M37" s="33"/>
      <c r="N37" s="33"/>
    </row>
    <row r="38" spans="7:14">
      <c r="G38" s="34" t="s">
        <v>323</v>
      </c>
      <c r="H38" s="34"/>
      <c r="I38" s="34"/>
      <c r="J38" s="34"/>
      <c r="K38" s="34"/>
      <c r="L38" s="33"/>
      <c r="M38" s="33"/>
    </row>
  </sheetData>
  <mergeCells count="24">
    <mergeCell ref="A13:B13"/>
    <mergeCell ref="A1:M2"/>
    <mergeCell ref="A3:B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25:B25"/>
    <mergeCell ref="A14:B14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DCA955-5397-4E6E-AED8-2498259F62C2}">
  <dimension ref="A1:L6"/>
  <sheetViews>
    <sheetView topLeftCell="A27" workbookViewId="0">
      <selection activeCell="G38" sqref="G38"/>
    </sheetView>
  </sheetViews>
  <sheetFormatPr defaultRowHeight="14.4"/>
  <cols>
    <col min="2" max="2" width="10.21875" customWidth="1"/>
    <col min="4" max="4" width="12.77734375" customWidth="1"/>
    <col min="7" max="7" width="14" customWidth="1"/>
  </cols>
  <sheetData>
    <row r="1" spans="1:12">
      <c r="A1" s="40" t="s">
        <v>120</v>
      </c>
      <c r="B1" s="41" t="s">
        <v>116</v>
      </c>
      <c r="C1" s="41" t="s">
        <v>117</v>
      </c>
      <c r="D1" s="41" t="s">
        <v>106</v>
      </c>
      <c r="E1" s="41" t="s">
        <v>118</v>
      </c>
      <c r="F1" s="41" t="s">
        <v>119</v>
      </c>
      <c r="G1" s="42" t="s">
        <v>84</v>
      </c>
      <c r="H1" s="41"/>
      <c r="I1" s="41"/>
      <c r="J1" s="41"/>
      <c r="K1" s="41"/>
      <c r="L1" s="41"/>
    </row>
    <row r="2" spans="1:12">
      <c r="A2" s="43" t="s">
        <v>41</v>
      </c>
      <c r="B2" s="44">
        <v>191754</v>
      </c>
      <c r="C2" s="44">
        <v>38449</v>
      </c>
      <c r="D2" s="44">
        <v>141514</v>
      </c>
      <c r="E2" s="45">
        <v>0.43469999999999998</v>
      </c>
      <c r="F2" s="45">
        <v>0.28239999999999998</v>
      </c>
      <c r="G2" s="46">
        <v>2.5569999999999999</v>
      </c>
      <c r="H2" s="53"/>
      <c r="I2" s="53"/>
      <c r="J2" s="53"/>
      <c r="K2" s="53"/>
      <c r="L2" s="53"/>
    </row>
    <row r="3" spans="1:12">
      <c r="A3" s="43" t="s">
        <v>38</v>
      </c>
      <c r="B3" s="44">
        <v>225458</v>
      </c>
      <c r="C3" s="44">
        <v>42303</v>
      </c>
      <c r="D3" s="44">
        <v>143651</v>
      </c>
      <c r="E3" s="45">
        <v>0.46729999999999999</v>
      </c>
      <c r="F3" s="45">
        <v>0.29659999999999997</v>
      </c>
      <c r="G3" s="46">
        <v>2.5299999999999998</v>
      </c>
      <c r="H3" s="53"/>
      <c r="I3" s="53"/>
      <c r="J3" s="53"/>
      <c r="K3" s="53"/>
      <c r="L3" s="53"/>
    </row>
    <row r="4" spans="1:12">
      <c r="A4" s="43" t="s">
        <v>39</v>
      </c>
      <c r="B4" s="44">
        <v>240893</v>
      </c>
      <c r="C4" s="44">
        <v>46099</v>
      </c>
      <c r="D4" s="44">
        <v>146449</v>
      </c>
      <c r="E4" s="45">
        <v>0.50509999999999999</v>
      </c>
      <c r="F4" s="45">
        <v>0.31780000000000003</v>
      </c>
      <c r="G4" s="46">
        <v>2.4500000000000002</v>
      </c>
      <c r="H4" s="53"/>
      <c r="I4" s="53"/>
      <c r="J4" s="53"/>
      <c r="K4" s="53"/>
      <c r="L4" s="53"/>
    </row>
    <row r="5" spans="1:12">
      <c r="A5" s="47" t="s">
        <v>40</v>
      </c>
      <c r="B5" s="48">
        <v>255324</v>
      </c>
      <c r="C5" s="48">
        <v>48797</v>
      </c>
      <c r="D5" s="48">
        <v>159629</v>
      </c>
      <c r="E5" s="49">
        <v>0.52159999999999995</v>
      </c>
      <c r="F5" s="49">
        <v>0.31879999999999997</v>
      </c>
      <c r="G5" s="50">
        <v>2.3199999999999998</v>
      </c>
      <c r="H5" s="53"/>
      <c r="I5" s="53"/>
      <c r="J5" s="53"/>
      <c r="K5" s="53"/>
      <c r="L5" s="53"/>
    </row>
    <row r="6" spans="1:12">
      <c r="A6" s="47"/>
      <c r="B6" s="48"/>
      <c r="C6" s="48"/>
      <c r="D6" s="48"/>
      <c r="E6" s="49"/>
      <c r="F6" s="49"/>
      <c r="G6" s="50"/>
    </row>
  </sheetData>
  <phoneticPr fontId="19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63C529-40E2-4332-9BE0-D24A0DEFB71E}">
  <dimension ref="A1:W3"/>
  <sheetViews>
    <sheetView topLeftCell="A2" zoomScale="79" zoomScaleNormal="88" workbookViewId="0">
      <selection sqref="A1:W3"/>
    </sheetView>
  </sheetViews>
  <sheetFormatPr defaultRowHeight="14.4"/>
  <cols>
    <col min="23" max="23" width="63.88671875" customWidth="1"/>
  </cols>
  <sheetData>
    <row r="1" spans="1:23">
      <c r="A1" s="91" t="s">
        <v>121</v>
      </c>
      <c r="B1" s="115"/>
      <c r="C1" s="115"/>
      <c r="D1" s="115"/>
      <c r="E1" s="115"/>
      <c r="F1" s="115"/>
      <c r="G1" s="115"/>
      <c r="H1" s="115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</row>
    <row r="2" spans="1:23">
      <c r="A2" s="115"/>
      <c r="B2" s="115"/>
      <c r="C2" s="115"/>
      <c r="D2" s="115"/>
      <c r="E2" s="115"/>
      <c r="F2" s="115"/>
      <c r="G2" s="115"/>
      <c r="H2" s="115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</row>
    <row r="3" spans="1:23">
      <c r="A3" s="115"/>
      <c r="B3" s="115"/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</row>
  </sheetData>
  <mergeCells count="1">
    <mergeCell ref="A1:W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BE78B2-0197-40E9-9A89-AD4AEB599129}">
  <dimension ref="A1:W37"/>
  <sheetViews>
    <sheetView tabSelected="1" topLeftCell="A17" zoomScaleNormal="100" workbookViewId="0">
      <selection activeCell="A28" sqref="A28:K28"/>
    </sheetView>
  </sheetViews>
  <sheetFormatPr defaultRowHeight="14.4"/>
  <cols>
    <col min="11" max="11" width="78.77734375" customWidth="1"/>
  </cols>
  <sheetData>
    <row r="1" spans="1:23">
      <c r="A1" s="92" t="s">
        <v>142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</row>
    <row r="2" spans="1:23">
      <c r="A2" s="92"/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</row>
    <row r="3" spans="1:23">
      <c r="A3" s="92"/>
      <c r="B3" s="92"/>
      <c r="C3" s="92"/>
      <c r="D3" s="92"/>
      <c r="E3" s="92"/>
      <c r="F3" s="92"/>
      <c r="G3" s="92"/>
      <c r="H3" s="92"/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</row>
    <row r="4" spans="1:23" ht="18">
      <c r="A4" s="77" t="s">
        <v>124</v>
      </c>
      <c r="B4" s="77"/>
      <c r="C4" s="77"/>
      <c r="D4" s="77"/>
      <c r="E4" s="77"/>
      <c r="F4" s="77"/>
      <c r="G4" s="77"/>
      <c r="H4" s="77"/>
      <c r="I4" s="77"/>
      <c r="J4" s="77"/>
      <c r="K4" s="77"/>
    </row>
    <row r="5" spans="1:23" ht="18">
      <c r="A5" s="77" t="s">
        <v>326</v>
      </c>
      <c r="B5" s="77"/>
      <c r="C5" s="77"/>
      <c r="D5" s="77"/>
      <c r="E5" s="77"/>
      <c r="F5" s="77"/>
      <c r="G5" s="77"/>
      <c r="H5" s="77"/>
      <c r="I5" s="77"/>
      <c r="J5" s="77"/>
      <c r="K5" s="77"/>
    </row>
    <row r="6" spans="1:23" ht="22.8" customHeight="1">
      <c r="A6" s="77" t="s">
        <v>123</v>
      </c>
      <c r="B6" s="77"/>
      <c r="C6" s="77"/>
      <c r="D6" s="77"/>
      <c r="E6" s="77"/>
      <c r="F6" s="77"/>
      <c r="G6" s="77"/>
      <c r="H6" s="77"/>
      <c r="I6" s="77"/>
      <c r="J6" s="77"/>
      <c r="K6" s="77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</row>
    <row r="7" spans="1:23" ht="18">
      <c r="A7" s="77" t="s">
        <v>122</v>
      </c>
      <c r="B7" s="77"/>
      <c r="C7" s="77"/>
      <c r="D7" s="77"/>
      <c r="E7" s="77"/>
      <c r="F7" s="77"/>
      <c r="G7" s="77"/>
      <c r="H7" s="77"/>
      <c r="I7" s="77"/>
      <c r="J7" s="77"/>
      <c r="K7" s="77"/>
    </row>
    <row r="8" spans="1:23" ht="18">
      <c r="A8" s="116" t="s">
        <v>125</v>
      </c>
      <c r="B8" s="116"/>
      <c r="C8" s="116"/>
      <c r="D8" s="116"/>
      <c r="E8" s="116"/>
      <c r="F8" s="116"/>
      <c r="G8" s="116"/>
      <c r="H8" s="116"/>
      <c r="I8" s="116"/>
      <c r="J8" s="116"/>
      <c r="K8" s="116"/>
    </row>
    <row r="9" spans="1:23" ht="18">
      <c r="A9" s="77" t="s">
        <v>324</v>
      </c>
      <c r="B9" s="77"/>
      <c r="C9" s="77"/>
      <c r="D9" s="77"/>
      <c r="E9" s="77"/>
      <c r="F9" s="77"/>
      <c r="G9" s="77"/>
      <c r="H9" s="77"/>
      <c r="I9" s="77"/>
      <c r="J9" s="77"/>
      <c r="K9" s="77"/>
    </row>
    <row r="10" spans="1:23" ht="18">
      <c r="A10" s="77" t="s">
        <v>126</v>
      </c>
      <c r="B10" s="77"/>
      <c r="C10" s="77"/>
      <c r="D10" s="77"/>
      <c r="E10" s="77"/>
      <c r="F10" s="77"/>
      <c r="G10" s="77"/>
      <c r="H10" s="77"/>
      <c r="I10" s="77"/>
      <c r="J10" s="77"/>
      <c r="K10" s="77"/>
    </row>
    <row r="11" spans="1:23" ht="18">
      <c r="A11" s="77" t="s">
        <v>127</v>
      </c>
      <c r="B11" s="77"/>
      <c r="C11" s="77"/>
      <c r="D11" s="77"/>
      <c r="E11" s="77"/>
      <c r="F11" s="77"/>
      <c r="G11" s="77"/>
      <c r="H11" s="77"/>
      <c r="I11" s="77"/>
      <c r="J11" s="77"/>
      <c r="K11" s="77"/>
    </row>
    <row r="12" spans="1:23" ht="18">
      <c r="A12" s="116" t="s">
        <v>128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6"/>
    </row>
    <row r="13" spans="1:23" ht="18">
      <c r="A13" s="77" t="s">
        <v>325</v>
      </c>
      <c r="B13" s="77"/>
      <c r="C13" s="77"/>
      <c r="D13" s="77"/>
      <c r="E13" s="77"/>
      <c r="F13" s="77"/>
      <c r="G13" s="77"/>
      <c r="H13" s="77"/>
      <c r="I13" s="77"/>
      <c r="J13" s="77"/>
      <c r="K13" s="77"/>
    </row>
    <row r="14" spans="1:23" ht="18">
      <c r="A14" s="77" t="s">
        <v>129</v>
      </c>
      <c r="B14" s="77"/>
      <c r="C14" s="77"/>
      <c r="D14" s="77"/>
      <c r="E14" s="77"/>
      <c r="F14" s="77"/>
      <c r="G14" s="77"/>
      <c r="H14" s="77"/>
      <c r="I14" s="77"/>
      <c r="J14" s="77"/>
      <c r="K14" s="77"/>
    </row>
    <row r="15" spans="1:23" ht="18">
      <c r="A15" s="77" t="s">
        <v>130</v>
      </c>
      <c r="B15" s="77"/>
      <c r="C15" s="77"/>
      <c r="D15" s="77"/>
      <c r="E15" s="77"/>
      <c r="F15" s="77"/>
      <c r="G15" s="77"/>
      <c r="H15" s="77"/>
      <c r="I15" s="77"/>
      <c r="J15" s="77"/>
      <c r="K15" s="77"/>
    </row>
    <row r="16" spans="1:23" ht="18">
      <c r="A16" s="116" t="s">
        <v>131</v>
      </c>
      <c r="B16" s="77"/>
      <c r="C16" s="77"/>
      <c r="D16" s="77"/>
      <c r="E16" s="77"/>
      <c r="F16" s="77"/>
      <c r="G16" s="77"/>
      <c r="H16" s="77"/>
      <c r="I16" s="77"/>
      <c r="J16" s="77"/>
      <c r="K16" s="77"/>
    </row>
    <row r="17" spans="1:19" ht="18">
      <c r="A17" s="77" t="s">
        <v>327</v>
      </c>
      <c r="B17" s="77"/>
      <c r="C17" s="77"/>
      <c r="D17" s="77"/>
      <c r="E17" s="77"/>
      <c r="F17" s="77"/>
      <c r="G17" s="77"/>
      <c r="H17" s="77"/>
      <c r="I17" s="77"/>
      <c r="J17" s="77"/>
      <c r="K17" s="77"/>
    </row>
    <row r="18" spans="1:19" ht="18">
      <c r="A18" s="77" t="s">
        <v>132</v>
      </c>
      <c r="B18" s="77"/>
      <c r="C18" s="77"/>
      <c r="D18" s="77"/>
      <c r="E18" s="77"/>
      <c r="F18" s="77"/>
      <c r="G18" s="77"/>
      <c r="H18" s="77"/>
      <c r="I18" s="77"/>
      <c r="J18" s="77"/>
      <c r="K18" s="77"/>
    </row>
    <row r="19" spans="1:19" ht="18">
      <c r="A19" s="77" t="s">
        <v>133</v>
      </c>
      <c r="B19" s="77"/>
      <c r="C19" s="77"/>
      <c r="D19" s="77"/>
      <c r="E19" s="77"/>
      <c r="F19" s="77"/>
      <c r="G19" s="77"/>
      <c r="H19" s="77"/>
      <c r="I19" s="77"/>
      <c r="J19" s="77"/>
      <c r="K19" s="77"/>
    </row>
    <row r="20" spans="1:19" ht="18">
      <c r="A20" s="116" t="s">
        <v>134</v>
      </c>
      <c r="B20" s="77"/>
      <c r="C20" s="77"/>
      <c r="D20" s="77"/>
      <c r="E20" s="77"/>
      <c r="F20" s="77"/>
      <c r="G20" s="77"/>
      <c r="H20" s="77"/>
      <c r="I20" s="77"/>
      <c r="J20" s="77"/>
      <c r="K20" s="77"/>
    </row>
    <row r="21" spans="1:19" ht="15">
      <c r="A21" s="77" t="s">
        <v>328</v>
      </c>
      <c r="B21" s="117"/>
      <c r="C21" s="117"/>
      <c r="D21" s="117"/>
      <c r="E21" s="117"/>
      <c r="F21" s="117"/>
      <c r="G21" s="117"/>
      <c r="H21" s="117"/>
      <c r="I21" s="117"/>
      <c r="J21" s="117"/>
      <c r="K21" s="117"/>
    </row>
    <row r="22" spans="1:19" ht="18">
      <c r="A22" s="77" t="s">
        <v>135</v>
      </c>
      <c r="B22" s="77"/>
      <c r="C22" s="77"/>
      <c r="D22" s="77"/>
      <c r="E22" s="77"/>
      <c r="F22" s="77"/>
      <c r="G22" s="77"/>
      <c r="H22" s="77"/>
      <c r="I22" s="77"/>
      <c r="J22" s="77"/>
      <c r="K22" s="77"/>
    </row>
    <row r="23" spans="1:19" ht="18">
      <c r="A23" s="77" t="s">
        <v>136</v>
      </c>
      <c r="B23" s="77"/>
      <c r="C23" s="77"/>
      <c r="D23" s="77"/>
      <c r="E23" s="77"/>
      <c r="F23" s="77"/>
      <c r="G23" s="77"/>
      <c r="H23" s="77"/>
      <c r="I23" s="77"/>
      <c r="J23" s="77"/>
      <c r="K23" s="77"/>
    </row>
    <row r="24" spans="1:19" ht="18">
      <c r="A24" s="116" t="s">
        <v>137</v>
      </c>
      <c r="B24" s="77"/>
      <c r="C24" s="77"/>
      <c r="D24" s="77"/>
      <c r="E24" s="77"/>
      <c r="F24" s="77"/>
      <c r="G24" s="77"/>
      <c r="H24" s="77"/>
      <c r="I24" s="77"/>
      <c r="J24" s="77"/>
      <c r="K24" s="77"/>
    </row>
    <row r="25" spans="1:19" ht="18">
      <c r="A25" s="77" t="s">
        <v>329</v>
      </c>
      <c r="B25" s="77"/>
      <c r="C25" s="77"/>
      <c r="D25" s="77"/>
      <c r="E25" s="77"/>
      <c r="F25" s="77"/>
      <c r="G25" s="77"/>
      <c r="H25" s="77"/>
      <c r="I25" s="77"/>
      <c r="J25" s="77"/>
      <c r="K25" s="77"/>
    </row>
    <row r="26" spans="1:19" ht="18">
      <c r="A26" s="77"/>
      <c r="B26" s="77"/>
      <c r="C26" s="77"/>
      <c r="D26" s="77"/>
      <c r="E26" s="77"/>
      <c r="F26" s="77"/>
      <c r="G26" s="77"/>
      <c r="H26" s="77"/>
      <c r="I26" s="77"/>
      <c r="J26" s="77"/>
      <c r="K26" s="77"/>
    </row>
    <row r="27" spans="1:19" ht="18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</row>
    <row r="28" spans="1:19" ht="18">
      <c r="A28" s="70"/>
      <c r="B28" s="70"/>
      <c r="C28" s="70"/>
      <c r="D28" s="70"/>
      <c r="E28" s="70"/>
      <c r="F28" s="70"/>
      <c r="G28" s="70"/>
      <c r="H28" s="70"/>
      <c r="I28" s="70"/>
      <c r="J28" s="70"/>
      <c r="K28" s="70"/>
    </row>
    <row r="29" spans="1:19" ht="25.8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</row>
    <row r="30" spans="1:19" ht="25.8">
      <c r="A30" s="51"/>
      <c r="B30" s="51"/>
      <c r="C30" s="51"/>
      <c r="D30" s="51"/>
      <c r="E30" s="51"/>
      <c r="F30" s="51"/>
      <c r="G30" s="51"/>
      <c r="H30" s="51"/>
      <c r="I30" s="51"/>
      <c r="J30" s="29"/>
      <c r="K30" s="52" t="s">
        <v>138</v>
      </c>
      <c r="L30" s="51"/>
      <c r="M30" s="51"/>
      <c r="N30" s="51"/>
      <c r="O30" s="51"/>
      <c r="P30" s="51"/>
      <c r="Q30" s="51"/>
      <c r="R30" s="51"/>
      <c r="S30" s="51"/>
    </row>
    <row r="31" spans="1:19" ht="18">
      <c r="A31" s="70" t="s">
        <v>139</v>
      </c>
      <c r="B31" s="89"/>
      <c r="C31" s="89"/>
      <c r="D31" s="89"/>
      <c r="E31" s="89"/>
      <c r="F31" s="89"/>
      <c r="G31" s="89"/>
      <c r="H31" s="89"/>
      <c r="I31" s="89"/>
      <c r="J31" s="89"/>
      <c r="K31" s="89"/>
    </row>
    <row r="32" spans="1:19" ht="18">
      <c r="A32" s="70" t="s">
        <v>140</v>
      </c>
      <c r="B32" s="70"/>
      <c r="C32" s="70"/>
      <c r="D32" s="70"/>
      <c r="E32" s="70"/>
      <c r="F32" s="70"/>
      <c r="G32" s="70"/>
      <c r="H32" s="70"/>
      <c r="I32" s="70"/>
      <c r="J32" s="70"/>
      <c r="K32" s="70"/>
    </row>
    <row r="33" spans="1:11" ht="18">
      <c r="A33" s="70" t="s">
        <v>141</v>
      </c>
      <c r="B33" s="70"/>
      <c r="C33" s="70"/>
      <c r="D33" s="70"/>
      <c r="E33" s="70"/>
      <c r="F33" s="70"/>
      <c r="G33" s="70"/>
      <c r="H33" s="70"/>
      <c r="I33" s="70"/>
      <c r="J33" s="70"/>
      <c r="K33" s="70"/>
    </row>
    <row r="34" spans="1:11" ht="18">
      <c r="A34" s="70"/>
      <c r="B34" s="70"/>
      <c r="C34" s="70"/>
      <c r="D34" s="70"/>
      <c r="E34" s="70"/>
      <c r="F34" s="70"/>
      <c r="G34" s="70"/>
      <c r="H34" s="70"/>
      <c r="I34" s="70"/>
      <c r="J34" s="70"/>
      <c r="K34" s="70"/>
    </row>
    <row r="35" spans="1:11" ht="18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</row>
    <row r="36" spans="1:11" ht="18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</row>
    <row r="37" spans="1:11" ht="18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</row>
  </sheetData>
  <mergeCells count="34">
    <mergeCell ref="A36:K36"/>
    <mergeCell ref="A37:K37"/>
    <mergeCell ref="A31:K31"/>
    <mergeCell ref="A32:K32"/>
    <mergeCell ref="A33:K33"/>
    <mergeCell ref="A34:K34"/>
    <mergeCell ref="A35:K35"/>
    <mergeCell ref="A27:K27"/>
    <mergeCell ref="A28:K28"/>
    <mergeCell ref="A21:K21"/>
    <mergeCell ref="A22:K22"/>
    <mergeCell ref="A23:K23"/>
    <mergeCell ref="A24:K24"/>
    <mergeCell ref="A25:K25"/>
    <mergeCell ref="A26:K26"/>
    <mergeCell ref="A20:K20"/>
    <mergeCell ref="A9:K9"/>
    <mergeCell ref="A10:K10"/>
    <mergeCell ref="A11:K11"/>
    <mergeCell ref="A12:K12"/>
    <mergeCell ref="A13:K13"/>
    <mergeCell ref="A14:K14"/>
    <mergeCell ref="A15:K15"/>
    <mergeCell ref="A16:K16"/>
    <mergeCell ref="A17:K17"/>
    <mergeCell ref="A18:K18"/>
    <mergeCell ref="A19:K19"/>
    <mergeCell ref="A8:K8"/>
    <mergeCell ref="L6:V6"/>
    <mergeCell ref="A1:W3"/>
    <mergeCell ref="A4:K4"/>
    <mergeCell ref="A5:K5"/>
    <mergeCell ref="A6:K6"/>
    <mergeCell ref="A7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company overview</vt:lpstr>
      <vt:lpstr>Industry Analysis </vt:lpstr>
      <vt:lpstr>financial statement </vt:lpstr>
      <vt:lpstr>Ratio Analysis </vt:lpstr>
      <vt:lpstr>trend analysis </vt:lpstr>
      <vt:lpstr>Raw Dataset Table </vt:lpstr>
      <vt:lpstr>Dashboard </vt:lpstr>
      <vt:lpstr>business insights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 BLITZ</dc:creator>
  <cp:lastModifiedBy>Prashansa Shrivastava</cp:lastModifiedBy>
  <dcterms:created xsi:type="dcterms:W3CDTF">2015-06-05T18:17:20Z</dcterms:created>
  <dcterms:modified xsi:type="dcterms:W3CDTF">2026-07-22T07:49:31Z</dcterms:modified>
</cp:coreProperties>
</file>